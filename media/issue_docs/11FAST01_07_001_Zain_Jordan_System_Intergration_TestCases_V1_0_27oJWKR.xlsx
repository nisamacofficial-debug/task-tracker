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defaultThemeVersion="124226"/>
  <mc:AlternateContent xmlns:mc="http://schemas.openxmlformats.org/markup-compatibility/2006">
    <mc:Choice Requires="x15">
      <x15ac:absPath xmlns:x15ac="http://schemas.microsoft.com/office/spreadsheetml/2010/11/ac" url="C:\Users\Administrator\Desktop\"/>
    </mc:Choice>
  </mc:AlternateContent>
  <xr:revisionPtr revIDLastSave="0" documentId="13_ncr:1_{543DEC57-6BB5-4861-A11E-E18C2BBD18A6}" xr6:coauthVersionLast="47" xr6:coauthVersionMax="47" xr10:uidLastSave="{00000000-0000-0000-0000-000000000000}"/>
  <bookViews>
    <workbookView xWindow="-60" yWindow="-60" windowWidth="28920" windowHeight="15600" tabRatio="862" activeTab="1" xr2:uid="{00000000-000D-0000-FFFF-FFFF00000000}"/>
  </bookViews>
  <sheets>
    <sheet name="Cover" sheetId="1" r:id="rId1"/>
    <sheet name="Execution Report" sheetId="2" r:id="rId2"/>
    <sheet name="Test Cycle Plan" sheetId="3" r:id="rId3"/>
    <sheet name="Defects" sheetId="4" r:id="rId4"/>
    <sheet name="Enhancement " sheetId="8" r:id="rId5"/>
    <sheet name="Reference" sheetId="5" r:id="rId6"/>
    <sheet name="Changes required" sheetId="9" r:id="rId7"/>
  </sheets>
  <externalReferences>
    <externalReference r:id="rId8"/>
    <externalReference r:id="rId9"/>
    <externalReference r:id="rId10"/>
  </externalReferences>
  <definedNames>
    <definedName name="_xlnm._FilterDatabase" localSheetId="3" hidden="1">Defects!$A$1:$M$1</definedName>
    <definedName name="_xlnm._FilterDatabase" localSheetId="2" hidden="1">'Test Cycle Plan'!$A$2:$K$181</definedName>
    <definedName name="bspaym">[1]Mapping!$E$190:$H$252</definedName>
    <definedName name="Case_Status" localSheetId="4">[2]Reference!$I$3:$I$6</definedName>
    <definedName name="Case_Status">Reference!$I$3:$I$6</definedName>
    <definedName name="Category" localSheetId="4">[2]Reference!$G$3:$G$9</definedName>
    <definedName name="Category">Reference!$G$3:$G$9</definedName>
    <definedName name="code" localSheetId="0">#REF!</definedName>
    <definedName name="code" localSheetId="4">'Enhancement '!#REF!</definedName>
    <definedName name="code">#REF!</definedName>
    <definedName name="Control_Points">#N/A</definedName>
    <definedName name="Date" localSheetId="0">#REF!</definedName>
    <definedName name="Date" localSheetId="4">'Enhancement '!#REF!</definedName>
    <definedName name="Date">#REF!</definedName>
    <definedName name="Defect_Status">Reference!$D$3:$D$10</definedName>
    <definedName name="Defect_Tipification">Reference!$K$2:$K$4</definedName>
    <definedName name="DefectPriority" localSheetId="4">[2]Reference!$B$3:$B$5</definedName>
    <definedName name="DefectPriority">Reference!$B$3:$B$5</definedName>
    <definedName name="DefectStatus" localSheetId="4">[2]Reference!$D$3:$D$10</definedName>
    <definedName name="DefectStatus">Reference!$D$3:$D$10</definedName>
    <definedName name="DefectTipification" localSheetId="4">[2]Reference!$K$3:$K$4</definedName>
    <definedName name="DefectTipification">Reference!$K$3:$K$4</definedName>
    <definedName name="gl">[1]Mapping!$F$2:$F$252</definedName>
    <definedName name="Initializers">#N/A</definedName>
    <definedName name="jun">[3]tb!$L$1:$S$65536</definedName>
    <definedName name="NOT_STARTED">Reference!$I$3:$I$6</definedName>
    <definedName name="ohuk" localSheetId="0">#REF!</definedName>
    <definedName name="ohuk" localSheetId="4">'Enhancement '!#REF!</definedName>
    <definedName name="ohuk">#REF!</definedName>
    <definedName name="Priority">Reference!$B$3:$B$5</definedName>
    <definedName name="Resolution_Resp">#N/A</definedName>
    <definedName name="Status">Reference!$D$3:$D$9</definedName>
    <definedName name="Sub_Test_Case_ID">#N/A</definedName>
    <definedName name="tb" localSheetId="0">#REF!</definedName>
    <definedName name="tb" localSheetId="4">'Enhancement '!#REF!</definedName>
    <definedName name="tb">#REF!</definedName>
    <definedName name="TEST_CASE_ID" localSheetId="2">#N/A</definedName>
    <definedName name="TEST_CASE_ID">#N/A</definedName>
    <definedName name="TEST_CYCLE_ID" localSheetId="2">#N/A</definedName>
    <definedName name="TEST_CYCLE_ID">#N/A</definedName>
    <definedName name="TestCaseStatus" localSheetId="4">[2]Reference!$I$3:$I$6</definedName>
    <definedName name="TestCaseStatus">Reference!$I$3:$I$6</definedName>
    <definedName name="testcasestatuslist">Reference!$I$3:$I$6</definedName>
    <definedName name="version" localSheetId="0">#REF!</definedName>
    <definedName name="version" localSheetId="4">'Enhancement '!#REF!</definedName>
    <definedName name="version">#REF!</definedName>
    <definedName name="Z_0B9F2D53_AA97_4486_BA82_C34E1B9C92E6_.wvu.FilterData" localSheetId="2" hidden="1">'Test Cycle Plan'!$A$1:$G$2</definedName>
    <definedName name="Z_0E24DF43_55B9_45BB_A1C0_AD5E328120F3_.wvu.FilterData" localSheetId="3" hidden="1">Defects!$A$1:$Q$14</definedName>
    <definedName name="Z_1C0DAEEB_0063_4467_822B_08352E3A5D45_.wvu.FilterData" localSheetId="2" hidden="1">'Test Cycle Plan'!$A$1:$G$2</definedName>
    <definedName name="Z_1C92A2C2_FD48_4928_AED5_9BEA6C9145FD_.wvu.FilterData" localSheetId="3" hidden="1">Defects!$A$1:$L$135</definedName>
    <definedName name="Z_1C92A2C2_FD48_4928_AED5_9BEA6C9145FD_.wvu.FilterData" localSheetId="2" hidden="1">'Test Cycle Plan'!$A$1:$G$2</definedName>
    <definedName name="Z_27D0C6A5_194D_464F_B121_B2E5216F9383_.wvu.FilterData" localSheetId="3" hidden="1">Defects!$A$1:$L$14</definedName>
    <definedName name="Z_29B54D62_D726_404E_ACBA_686D07F42D43_.wvu.FilterData" localSheetId="2" hidden="1">'Test Cycle Plan'!$A$1:$G$2</definedName>
    <definedName name="Z_2CF63FB9_C902_437A_92E2_92817F22856D_.wvu.FilterData" localSheetId="3" hidden="1">Defects!$A$1:$L$135</definedName>
    <definedName name="Z_3113F291_3E92_4666_ADEC_8341DF5CE0CF_.wvu.Cols" localSheetId="1" hidden="1">'Execution Report'!$A:$A</definedName>
    <definedName name="Z_37AB1E75_457F_4D7D_A169_E2E836A1A50B_.wvu.FilterData" localSheetId="2" hidden="1">'Test Cycle Plan'!$A$1:$G$2</definedName>
    <definedName name="Z_38047FAE_C65D_45D7_8EB1_76478246F61D_.wvu.FilterData" localSheetId="3" hidden="1">Defects!$A$1:$L$14</definedName>
    <definedName name="Z_38047FAE_C65D_45D7_8EB1_76478246F61D_.wvu.FilterData" localSheetId="2" hidden="1">'Test Cycle Plan'!$A$1:$G$2</definedName>
    <definedName name="Z_3E174381_B903_4DC0_8170_3EE53E0B2663_.wvu.Cols" localSheetId="1" hidden="1">'Execution Report'!$A:$A</definedName>
    <definedName name="Z_402AD91A_0E90_483B_A7B1_B2E906D60416_.wvu.FilterData" localSheetId="2" hidden="1">'Test Cycle Plan'!$A$1:$G$2</definedName>
    <definedName name="Z_4604D246_9230_4C0D_8001_95A2D65A6542_.wvu.FilterData" localSheetId="3" hidden="1">Defects!$A$1:$L$14</definedName>
    <definedName name="Z_4604D246_9230_4C0D_8001_95A2D65A6542_.wvu.FilterData" localSheetId="2" hidden="1">'Test Cycle Plan'!$A$1:$G$2</definedName>
    <definedName name="Z_4A1D1E1A_4F28_4293_88D1_766B05EE4845_.wvu.FilterData" localSheetId="2" hidden="1">'Test Cycle Plan'!$A$1:$G$2</definedName>
    <definedName name="Z_4C13FAFA_39B9_4D13_9E0C_3F9704CE76E4_.wvu.FilterData" localSheetId="3" hidden="1">Defects!$A$1:$L$14</definedName>
    <definedName name="Z_4C83FB7C_D938_4A00_952B_CAECC9DFF3FB_.wvu.Cols" localSheetId="1" hidden="1">'Execution Report'!$A:$A</definedName>
    <definedName name="Z_5514F8D6_437A_4E04_8651_FE60788FE7E9_.wvu.FilterData" localSheetId="3" hidden="1">Defects!$A$1:$L$14</definedName>
    <definedName name="Z_571CBC59_C590_442E_9A98_EB110CA62F2E_.wvu.FilterData" localSheetId="2" hidden="1">'Test Cycle Plan'!$A$1:$G$2</definedName>
    <definedName name="Z_5A9902B5_A0B3_49F6_902F_2EC2D6227793_.wvu.FilterData" localSheetId="2" hidden="1">'Test Cycle Plan'!$A$1:$G$2</definedName>
    <definedName name="Z_5EF8599A_D4FD_4CD9_A42C_5522CE444D26_.wvu.FilterData" localSheetId="3" hidden="1">Defects!$A$1:$L$14</definedName>
    <definedName name="Z_5FAFD7D9_3FE6_412C_9A12_D82C09F2F434_.wvu.FilterData" localSheetId="3" hidden="1">Defects!$A$1:$L$14</definedName>
    <definedName name="Z_649EDA57_47B3_4EFF_AE12_DF7A9B0C6B7E_.wvu.FilterData" localSheetId="3" hidden="1">Defects!$A$1:$L$14</definedName>
    <definedName name="Z_7346CC75_9F13_4018_9A8A_C1F4096FDAEC_.wvu.FilterData" localSheetId="2" hidden="1">'Test Cycle Plan'!$A$1:$G$2</definedName>
    <definedName name="Z_75336207_D3F4_47BA_A503_EE286FFEA9C5_.wvu.FilterData" localSheetId="3" hidden="1">Defects!$A$1:$Q$14</definedName>
    <definedName name="Z_75336207_D3F4_47BA_A503_EE286FFEA9C5_.wvu.FilterData" localSheetId="2" hidden="1">'Test Cycle Plan'!$A$1:$G$2</definedName>
    <definedName name="Z_7539F59D_1BA7_4EFF_BAA1_63F714CADEA0_.wvu.FilterData" localSheetId="3" hidden="1">Defects!$A$1:$L$14</definedName>
    <definedName name="Z_7846C3D8_D501_4989_A35F_49457D9F13B6_.wvu.FilterData" localSheetId="3" hidden="1">Defects!$A$1:$L$14</definedName>
    <definedName name="Z_7F42792D_8E53_42BA_8BF6_A1E59D689587_.wvu.FilterData" localSheetId="2" hidden="1">'Test Cycle Plan'!$A$1:$G$2</definedName>
    <definedName name="Z_87E9DF29_B3B5_49D6_A9F9_D4136AD726FA_.wvu.FilterData" localSheetId="3" hidden="1">Defects!$A$1:$Q$14</definedName>
    <definedName name="Z_87E9DF29_B3B5_49D6_A9F9_D4136AD726FA_.wvu.FilterData" localSheetId="2" hidden="1">'Test Cycle Plan'!$A$1:$G$2</definedName>
    <definedName name="Z_92E25D9E_3C1F_449B_AB12_7C65DEC94C38_.wvu.FilterData" localSheetId="3" hidden="1">Defects!$A$1:$L$14</definedName>
    <definedName name="Z_92E25D9E_3C1F_449B_AB12_7C65DEC94C38_.wvu.FilterData" localSheetId="2" hidden="1">'Test Cycle Plan'!$A$1:$G$2</definedName>
    <definedName name="Z_98F85CEF_0B27_46E0_83EC_AF3A91A8F625_.wvu.FilterData" localSheetId="3" hidden="1">Defects!$A$1:$L$135</definedName>
    <definedName name="Z_98F85CEF_0B27_46E0_83EC_AF3A91A8F625_.wvu.FilterData" localSheetId="2" hidden="1">'Test Cycle Plan'!$A$1:$G$2</definedName>
    <definedName name="Z_9E4937E6_365C_45F6_BF64_A90AA9284CCD_.wvu.FilterData" localSheetId="3" hidden="1">Defects!$A$1:$L$14</definedName>
    <definedName name="Z_9E4937E6_365C_45F6_BF64_A90AA9284CCD_.wvu.FilterData" localSheetId="2" hidden="1">'Test Cycle Plan'!$A$1:$G$2</definedName>
    <definedName name="Z_A20558F0_2F89_44CF_9E82_77DC0E7503C6_.wvu.Cols" localSheetId="1" hidden="1">'Execution Report'!$A:$A</definedName>
    <definedName name="Z_A715AA5E_69BB_448E_B639_532C254A0564_.wvu.FilterData" localSheetId="2" hidden="1">'Test Cycle Plan'!$A$1:$G$2</definedName>
    <definedName name="Z_AC6A3CA1_A876_4301_A52C_7B5A2486F0A7_.wvu.FilterData" localSheetId="3" hidden="1">Defects!$A$1:$L$14</definedName>
    <definedName name="Z_C2290E76_3893_41D8_A4D2_83F52E2B89D5_.wvu.FilterData" localSheetId="3" hidden="1">Defects!$A$1:$L$135</definedName>
    <definedName name="Z_C2290E76_3893_41D8_A4D2_83F52E2B89D5_.wvu.FilterData" localSheetId="2" hidden="1">'Test Cycle Plan'!$A$1:$G$2</definedName>
    <definedName name="Z_CD937A6C_313E_4825_9940_C75FA8D50104_.wvu.FilterData" localSheetId="3" hidden="1">Defects!$A$1:$L$135</definedName>
    <definedName name="Z_CFB79560_7E0E_4C61_86E3_17818B12463C_.wvu.FilterData" localSheetId="3" hidden="1">Defects!$A$1:$L$14</definedName>
    <definedName name="Z_D0FAFD3B_95A6_451C_A66D_A9AD0F3259F2_.wvu.FilterData" localSheetId="2" hidden="1">'Test Cycle Plan'!$A$1:$G$2</definedName>
    <definedName name="Z_D1DB2674_C338_4B56_BD07_7F845A98C4E1_.wvu.Cols" localSheetId="1" hidden="1">'Execution Report'!$A:$A</definedName>
    <definedName name="Z_D6080926_6676_421C_BD7A_7D890139DC99_.wvu.FilterData" localSheetId="3" hidden="1">Defects!$A$1:$L$14</definedName>
    <definedName name="Z_F927EF19_7A8B_422C_A5F9_6BFA03D48FDF_.wvu.FilterData" localSheetId="3" hidden="1">Defects!$A$1:$L$135</definedName>
    <definedName name="Z_FF154EE2_AC2D_430A_9754_0D28C9DDDBFB_.wvu.FilterData" localSheetId="3" hidden="1">Defects!$A$1:$L$14</definedName>
    <definedName name="Z_FF154EE2_AC2D_430A_9754_0D28C9DDDBFB_.wvu.FilterData" localSheetId="2" hidden="1">'Test Cycle Plan'!$A$1:$G$2</definedName>
  </definedNames>
  <calcPr calcId="191028"/>
  <customWorkbookViews>
    <customWorkbookView name="Miguel Chibante - Personal View" guid="{1C92A2C2-FD48-4928-AED5-9BEA6C9145FD}" mergeInterval="0" personalView="1" maximized="1" xWindow="1" yWindow="1" windowWidth="1024" windowHeight="547" tabRatio="862" activeSheetId="5"/>
    <customWorkbookView name="bdas - Personal View" guid="{CD937A6C-313E-4825-9940-C75FA8D50104}" mergeInterval="0" personalView="1" maximized="1" windowWidth="923" windowHeight="626" tabRatio="862" activeSheetId="4" showComments="commIndAndComment"/>
    <customWorkbookView name="João Pedro Soares - Personal View" guid="{FF154EE2-AC2D-430A-9754-0D28C9DDDBFB}" mergeInterval="0" personalView="1" maximized="1" xWindow="1" yWindow="1" windowWidth="1024" windowHeight="471" tabRatio="560" activeSheetId="5"/>
    <customWorkbookView name="akhasan - Personal View" guid="{87E9DF29-B3B5-49D6-A9F9-D4136AD726FA}" mergeInterval="0" personalView="1" maximized="1" windowWidth="1276" windowHeight="650" tabRatio="560" activeSheetId="4"/>
    <customWorkbookView name="pnd - Personal View" guid="{A8E65596-82B8-4194-A78B-A5EA5F829783}" mergeInterval="0" personalView="1" maximized="1" xWindow="1" yWindow="1" windowWidth="1440" windowHeight="659" tabRatio="560" activeSheetId="4"/>
    <customWorkbookView name="WeDo Consulting - Personal View" guid="{2817BE2F-7DEF-4D72-A351-413E65CABEE2}" mergeInterval="0" personalView="1" maximized="1" xWindow="1" yWindow="1" windowWidth="1024" windowHeight="547" tabRatio="560" activeSheetId="4"/>
    <customWorkbookView name="Accenture - 個人檢視畫面" guid="{A20558F0-2F89-44CF-9E82-77DC0E7503C6}" mergeInterval="0" personalView="1" maximized="1" windowWidth="1020" windowHeight="544" tabRatio="739" activeSheetId="1"/>
    <customWorkbookView name="frank.liu - 個人檢視畫面" guid="{3113F291-3E92-4666-ADEC-8341DF5CE0CF}" mergeInterval="0" personalView="1" maximized="1" windowWidth="1020" windowHeight="562" tabRatio="739" activeSheetId="4"/>
    <customWorkbookView name="Customer - 個人檢視畫面" guid="{4C83FB7C-D938-4A00-952B-CAECC9DFF3FB}" mergeInterval="0" personalView="1" maximized="1" windowWidth="1020" windowHeight="592" tabRatio="739" activeSheetId="2"/>
    <customWorkbookView name="vincent.chan - 個人檢視畫面" guid="{3E174381-B903-4DC0-8170-3EE53E0B2663}" mergeInterval="0" personalView="1" maximized="1" windowWidth="1020" windowHeight="514" tabRatio="739" activeSheetId="4"/>
    <customWorkbookView name="Diane Shen - Personal View" guid="{D1DB2674-C338-4B56-BD07-7F845A98C4E1}" mergeInterval="0" personalView="1" maximized="1" windowWidth="1020" windowHeight="470" tabRatio="739" activeSheetId="4"/>
    <customWorkbookView name="kaalam - Personal View" guid="{C2290E76-3893-41D8-A4D2-83F52E2B89D5}" mergeInterval="0" personalView="1" maximized="1" windowWidth="1020" windowHeight="576" tabRatio="638" activeSheetId="2"/>
    <customWorkbookView name="imran mahtab - Personal View" guid="{98F85CEF-0B27-46E0-83EC-AF3A91A8F625}" mergeInterval="0" personalView="1" maximized="1" windowWidth="1020" windowHeight="565" tabRatio="560" activeSheetId="2" showComments="commIndAndComment"/>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2" l="1"/>
  <c r="V5" i="2"/>
  <c r="V6" i="2"/>
  <c r="C6" i="2"/>
  <c r="C5" i="2"/>
  <c r="C7" i="2"/>
  <c r="C8" i="2" l="1"/>
  <c r="P10" i="2" a="1"/>
  <c r="P10" i="2" s="1"/>
  <c r="P9" i="2" a="1"/>
  <c r="P9" i="2" s="1"/>
  <c r="Q9" i="2" l="1"/>
  <c r="Q10" i="2"/>
  <c r="P7" i="2" a="1"/>
  <c r="P7" i="2" s="1"/>
  <c r="P5" i="2" a="1"/>
  <c r="P5" i="2" s="1"/>
  <c r="P6" i="2" a="1"/>
  <c r="P6" i="2" s="1"/>
  <c r="I6" i="2"/>
  <c r="J6" i="2" s="1"/>
  <c r="L5" i="2"/>
  <c r="L6" i="2"/>
  <c r="I7" i="2"/>
  <c r="J7" i="2" s="1"/>
  <c r="L7" i="2"/>
  <c r="I8" i="2"/>
  <c r="J8" i="2" s="1"/>
  <c r="L8" i="2"/>
  <c r="I9" i="2"/>
  <c r="J9" i="2" s="1"/>
  <c r="L9" i="2"/>
  <c r="I10" i="2"/>
  <c r="J10" i="2" s="1"/>
  <c r="L10" i="2"/>
  <c r="I11" i="2"/>
  <c r="J11" i="2" s="1"/>
  <c r="L11" i="2"/>
  <c r="I12" i="2"/>
  <c r="J12" i="2" s="1"/>
  <c r="L12" i="2"/>
  <c r="V13" i="2" l="1"/>
  <c r="P13" i="2"/>
  <c r="C13" i="2"/>
  <c r="D7" i="2" s="1"/>
  <c r="J13" i="2"/>
  <c r="K5" i="2" s="1"/>
  <c r="W6" i="2" l="1"/>
  <c r="W5" i="2"/>
  <c r="Q6" i="2"/>
  <c r="Q5" i="2"/>
  <c r="Q7" i="2"/>
  <c r="D5" i="2"/>
  <c r="D8" i="2"/>
  <c r="D6" i="2"/>
  <c r="K9" i="2"/>
  <c r="K11" i="2"/>
  <c r="K10" i="2"/>
  <c r="K12" i="2"/>
  <c r="K8" i="2"/>
  <c r="K7" i="2"/>
  <c r="K6" i="2"/>
  <c r="W13" i="2" l="1"/>
  <c r="Q13" i="2"/>
  <c r="D13" i="2"/>
  <c r="K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temp</author>
    <author>MFG</author>
  </authors>
  <commentList>
    <comment ref="A1" authorId="0" shapeId="0" xr:uid="{13B20AA7-064D-4A77-8F82-85B1D984ACF7}">
      <text>
        <r>
          <rPr>
            <b/>
            <sz val="8"/>
            <color indexed="81"/>
            <rFont val="Tahoma"/>
            <family val="2"/>
          </rPr>
          <t xml:space="preserve">WDT: </t>
        </r>
        <r>
          <rPr>
            <sz val="8"/>
            <color indexed="81"/>
            <rFont val="Tahoma"/>
            <family val="2"/>
          </rPr>
          <t xml:space="preserve">Test Cycle identifier (test sets with Features Group, or Test Phases…)
</t>
        </r>
      </text>
    </comment>
    <comment ref="B1" authorId="0" shapeId="0" xr:uid="{08F706DC-C240-46B5-8FA4-E7354C70FD46}">
      <text>
        <r>
          <rPr>
            <b/>
            <sz val="8"/>
            <color indexed="81"/>
            <rFont val="Tahoma"/>
            <family val="2"/>
          </rPr>
          <t xml:space="preserve">WDT: </t>
        </r>
        <r>
          <rPr>
            <sz val="8"/>
            <color indexed="81"/>
            <rFont val="Tahoma"/>
            <family val="2"/>
          </rPr>
          <t xml:space="preserve">Test Case Step
identifier
</t>
        </r>
      </text>
    </comment>
    <comment ref="C1" authorId="0" shapeId="0" xr:uid="{D70F0E10-7E71-461E-BEE2-7604D0343C86}">
      <text>
        <r>
          <rPr>
            <b/>
            <sz val="8"/>
            <color indexed="81"/>
            <rFont val="Tahoma"/>
            <family val="2"/>
          </rPr>
          <t xml:space="preserve">WDT: </t>
        </r>
        <r>
          <rPr>
            <sz val="8"/>
            <color indexed="81"/>
            <rFont val="Tahoma"/>
            <family val="2"/>
          </rPr>
          <t xml:space="preserve">Test Case Step
description
</t>
        </r>
      </text>
    </comment>
    <comment ref="D1" authorId="0" shapeId="0" xr:uid="{17497380-FCD4-4C06-9AF5-A037EB31AE3D}">
      <text>
        <r>
          <rPr>
            <b/>
            <sz val="8"/>
            <color indexed="81"/>
            <rFont val="Tahoma"/>
            <family val="2"/>
          </rPr>
          <t xml:space="preserve">WDT: </t>
        </r>
        <r>
          <rPr>
            <sz val="8"/>
            <color indexed="81"/>
            <rFont val="Tahoma"/>
            <family val="2"/>
          </rPr>
          <t xml:space="preserve">Input date(if 
applicable)
</t>
        </r>
      </text>
    </comment>
    <comment ref="E1" authorId="0" shapeId="0" xr:uid="{C2ABD3D3-AD55-4B02-AC54-408431F33E32}">
      <text>
        <r>
          <rPr>
            <b/>
            <sz val="8"/>
            <color indexed="81"/>
            <rFont val="Tahoma"/>
            <family val="2"/>
          </rPr>
          <t xml:space="preserve">WDT: </t>
        </r>
        <r>
          <rPr>
            <sz val="8"/>
            <color indexed="81"/>
            <rFont val="Tahoma"/>
            <family val="2"/>
          </rPr>
          <t xml:space="preserve">Sub test case description.
</t>
        </r>
      </text>
    </comment>
    <comment ref="F1" authorId="1" shapeId="0" xr:uid="{762C38E3-08C9-4ACF-B869-A45C35C765B8}">
      <text>
        <r>
          <rPr>
            <b/>
            <sz val="8"/>
            <color indexed="81"/>
            <rFont val="Tahoma"/>
            <family val="2"/>
          </rPr>
          <t xml:space="preserve">WDT: </t>
        </r>
        <r>
          <rPr>
            <sz val="8"/>
            <color indexed="81"/>
            <rFont val="Tahoma"/>
            <family val="2"/>
          </rPr>
          <t xml:space="preserve">Actual Step Result
</t>
        </r>
      </text>
    </comment>
    <comment ref="G1" authorId="0" shapeId="0" xr:uid="{6F0ED421-8573-4CA9-97E0-4C20FC314865}">
      <text>
        <r>
          <rPr>
            <b/>
            <sz val="8"/>
            <color indexed="81"/>
            <rFont val="Tahoma"/>
            <family val="2"/>
          </rPr>
          <t xml:space="preserve">WDT: </t>
        </r>
        <r>
          <rPr>
            <sz val="8"/>
            <color indexed="81"/>
            <rFont val="Tahoma"/>
            <family val="2"/>
          </rPr>
          <t>Status of test case.
See on the sheet "Reference" the list of possible status</t>
        </r>
      </text>
    </comment>
    <comment ref="H1" authorId="0" shapeId="0" xr:uid="{1784C7EA-1E6D-40E1-BD6C-6F2C320002CB}">
      <text>
        <r>
          <rPr>
            <b/>
            <sz val="8"/>
            <color indexed="81"/>
            <rFont val="Tahoma"/>
            <family val="2"/>
          </rPr>
          <t xml:space="preserve">WDT: </t>
        </r>
        <r>
          <rPr>
            <sz val="8"/>
            <color indexed="81"/>
            <rFont val="Tahoma"/>
            <family val="2"/>
          </rPr>
          <t>Category identifier.
e.g Feature Group name,  Functional test, Non Functional test..</t>
        </r>
      </text>
    </comment>
    <comment ref="I1" authorId="0" shapeId="0" xr:uid="{A6DEE8E8-B7CE-4318-82A2-41369A929F2D}">
      <text>
        <r>
          <rPr>
            <b/>
            <sz val="8"/>
            <color indexed="81"/>
            <rFont val="Tahoma"/>
            <family val="2"/>
          </rPr>
          <t xml:space="preserve">WDT: </t>
        </r>
        <r>
          <rPr>
            <sz val="8"/>
            <color indexed="81"/>
            <rFont val="Tahoma"/>
            <family val="2"/>
          </rPr>
          <t>Responsible tester</t>
        </r>
      </text>
    </comment>
    <comment ref="A3" authorId="0" shapeId="0" xr:uid="{BB2EE419-19ED-4502-9BC0-EDB0154DE51B}">
      <text>
        <r>
          <rPr>
            <b/>
            <sz val="8"/>
            <color indexed="81"/>
            <rFont val="Tahoma"/>
            <family val="2"/>
          </rPr>
          <t xml:space="preserve">WDT: </t>
        </r>
        <r>
          <rPr>
            <sz val="8"/>
            <color indexed="81"/>
            <rFont val="Tahoma"/>
            <family val="2"/>
          </rPr>
          <t xml:space="preserve">Test Cycle identifier (test sets with Features Group, or Test Phases…)
</t>
        </r>
      </text>
    </comment>
    <comment ref="B3" authorId="0" shapeId="0" xr:uid="{4D3AB84C-09CE-42A9-9895-29FA02F6FC02}">
      <text>
        <r>
          <rPr>
            <b/>
            <sz val="8"/>
            <color indexed="81"/>
            <rFont val="Tahoma"/>
            <family val="2"/>
          </rPr>
          <t xml:space="preserve">WDT: </t>
        </r>
        <r>
          <rPr>
            <sz val="8"/>
            <color indexed="81"/>
            <rFont val="Tahoma"/>
            <family val="2"/>
          </rPr>
          <t xml:space="preserve">Test Case Step
identifier
</t>
        </r>
      </text>
    </comment>
    <comment ref="C3" authorId="0" shapeId="0" xr:uid="{A7C0123B-BE43-4EFD-AEB4-9A1DAE35A49B}">
      <text>
        <r>
          <rPr>
            <b/>
            <sz val="8"/>
            <color indexed="81"/>
            <rFont val="Tahoma"/>
            <family val="2"/>
          </rPr>
          <t xml:space="preserve">WDT: </t>
        </r>
        <r>
          <rPr>
            <sz val="8"/>
            <color indexed="81"/>
            <rFont val="Tahoma"/>
            <family val="2"/>
          </rPr>
          <t xml:space="preserve">Test Case Step
description
</t>
        </r>
      </text>
    </comment>
    <comment ref="D3" authorId="0" shapeId="0" xr:uid="{67B7A458-BAC7-4E76-B799-F1239DC88E81}">
      <text>
        <r>
          <rPr>
            <b/>
            <sz val="8"/>
            <color indexed="81"/>
            <rFont val="Tahoma"/>
            <family val="2"/>
          </rPr>
          <t xml:space="preserve">WDT: </t>
        </r>
        <r>
          <rPr>
            <sz val="8"/>
            <color indexed="81"/>
            <rFont val="Tahoma"/>
            <family val="2"/>
          </rPr>
          <t xml:space="preserve">Input date(if 
applicable)
</t>
        </r>
      </text>
    </comment>
    <comment ref="E3" authorId="0" shapeId="0" xr:uid="{885AC685-8E2A-4CCA-A276-EE09EB8F037C}">
      <text>
        <r>
          <rPr>
            <b/>
            <sz val="8"/>
            <color indexed="81"/>
            <rFont val="Tahoma"/>
            <family val="2"/>
          </rPr>
          <t xml:space="preserve">WDT: </t>
        </r>
        <r>
          <rPr>
            <sz val="8"/>
            <color indexed="81"/>
            <rFont val="Tahoma"/>
            <family val="2"/>
          </rPr>
          <t xml:space="preserve">Sub test case description.
</t>
        </r>
      </text>
    </comment>
    <comment ref="F3" authorId="1" shapeId="0" xr:uid="{81E231C9-1C14-48AC-A6CB-73286132BA8D}">
      <text>
        <r>
          <rPr>
            <b/>
            <sz val="8"/>
            <color indexed="81"/>
            <rFont val="Tahoma"/>
            <family val="2"/>
          </rPr>
          <t xml:space="preserve">WDT: </t>
        </r>
        <r>
          <rPr>
            <sz val="8"/>
            <color indexed="81"/>
            <rFont val="Tahoma"/>
            <family val="2"/>
          </rPr>
          <t xml:space="preserve">Actual Step Result
</t>
        </r>
      </text>
    </comment>
    <comment ref="G3" authorId="1" shapeId="0" xr:uid="{F11EBF42-DDD4-400B-A6BC-4BB634544D0E}">
      <text>
        <r>
          <rPr>
            <b/>
            <sz val="8"/>
            <color indexed="81"/>
            <rFont val="Tahoma"/>
            <family val="2"/>
          </rPr>
          <t xml:space="preserve">WDT: </t>
        </r>
        <r>
          <rPr>
            <sz val="8"/>
            <color indexed="81"/>
            <rFont val="Tahoma"/>
            <family val="2"/>
          </rPr>
          <t xml:space="preserve">Actual Step Result
</t>
        </r>
      </text>
    </comment>
    <comment ref="H3" authorId="0" shapeId="0" xr:uid="{D575507B-A65A-4BC0-89EF-D3D88935794F}">
      <text>
        <r>
          <rPr>
            <b/>
            <sz val="8"/>
            <color indexed="81"/>
            <rFont val="Tahoma"/>
            <family val="2"/>
          </rPr>
          <t xml:space="preserve">WDT: </t>
        </r>
        <r>
          <rPr>
            <sz val="8"/>
            <color indexed="81"/>
            <rFont val="Tahoma"/>
            <family val="2"/>
          </rPr>
          <t>Category identifier.
e.g Feature Group name,  Functional test, Non Functional test..</t>
        </r>
      </text>
    </comment>
    <comment ref="I3" authorId="0" shapeId="0" xr:uid="{FA378399-30E7-474E-B200-795AAC149F8D}">
      <text>
        <r>
          <rPr>
            <b/>
            <sz val="8"/>
            <color indexed="81"/>
            <rFont val="Tahoma"/>
            <family val="2"/>
          </rPr>
          <t xml:space="preserve">WDT: </t>
        </r>
        <r>
          <rPr>
            <sz val="8"/>
            <color indexed="81"/>
            <rFont val="Tahoma"/>
            <family val="2"/>
          </rPr>
          <t>Responsible tester</t>
        </r>
      </text>
    </comment>
    <comment ref="L3" authorId="0" shapeId="0" xr:uid="{0CD10A87-733A-4AA2-BB89-F6D796C4E16B}">
      <text>
        <r>
          <rPr>
            <b/>
            <sz val="8"/>
            <color indexed="81"/>
            <rFont val="Tahoma"/>
            <family val="2"/>
          </rPr>
          <t xml:space="preserve">WDT: </t>
        </r>
        <r>
          <rPr>
            <sz val="8"/>
            <color indexed="81"/>
            <rFont val="Tahoma"/>
            <family val="2"/>
          </rPr>
          <t xml:space="preserve">Number of text case execution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author>
    <author>MFG</author>
  </authors>
  <commentList>
    <comment ref="B1" authorId="0" shapeId="0" xr:uid="{00000000-0006-0000-0400-000001000000}">
      <text>
        <r>
          <rPr>
            <b/>
            <sz val="8"/>
            <color indexed="81"/>
            <rFont val="Tahoma"/>
            <family val="2"/>
          </rPr>
          <t xml:space="preserve">WDT: </t>
        </r>
        <r>
          <rPr>
            <sz val="8"/>
            <color indexed="81"/>
            <rFont val="Tahoma"/>
            <family val="2"/>
          </rPr>
          <t>Test case identifier or Name (Sheet Test Cycle Plan or Test specification Document)</t>
        </r>
        <r>
          <rPr>
            <sz val="8"/>
            <color indexed="81"/>
            <rFont val="Tahoma"/>
            <family val="2"/>
          </rPr>
          <t xml:space="preserve">
</t>
        </r>
      </text>
    </comment>
    <comment ref="C1" authorId="0" shapeId="0" xr:uid="{00000000-0006-0000-0400-000002000000}">
      <text>
        <r>
          <rPr>
            <b/>
            <sz val="8"/>
            <color indexed="81"/>
            <rFont val="Tahoma"/>
            <family val="2"/>
          </rPr>
          <t xml:space="preserve">WDT: </t>
        </r>
        <r>
          <rPr>
            <sz val="8"/>
            <color indexed="81"/>
            <rFont val="Tahoma"/>
            <family val="2"/>
          </rPr>
          <t xml:space="preserve">Detected By ?
</t>
        </r>
      </text>
    </comment>
    <comment ref="D1" authorId="0" shapeId="0" xr:uid="{00000000-0006-0000-0400-000003000000}">
      <text>
        <r>
          <rPr>
            <b/>
            <sz val="8"/>
            <color indexed="81"/>
            <rFont val="Tahoma"/>
            <family val="2"/>
          </rPr>
          <t xml:space="preserve">WDT: </t>
        </r>
        <r>
          <rPr>
            <sz val="8"/>
            <color indexed="81"/>
            <rFont val="Tahoma"/>
            <family val="2"/>
          </rPr>
          <t>Describing the situation where the problem occurred, to indicate whether the data used. 
If a document with specification of tests has been developed to identify the test case identifier.</t>
        </r>
      </text>
    </comment>
    <comment ref="E1" authorId="0" shapeId="0" xr:uid="{00000000-0006-0000-0400-000004000000}">
      <text>
        <r>
          <rPr>
            <b/>
            <sz val="8"/>
            <color indexed="81"/>
            <rFont val="Tahoma"/>
            <family val="2"/>
          </rPr>
          <t xml:space="preserve">WDT: </t>
        </r>
        <r>
          <rPr>
            <sz val="8"/>
            <color indexed="81"/>
            <rFont val="Tahoma"/>
            <family val="2"/>
          </rPr>
          <t xml:space="preserve">Priority level for analysis/resolution
</t>
        </r>
      </text>
    </comment>
    <comment ref="F1" authorId="1" shapeId="0" xr:uid="{00000000-0006-0000-0400-000005000000}">
      <text>
        <r>
          <rPr>
            <b/>
            <sz val="8"/>
            <color indexed="81"/>
            <rFont val="Tahoma"/>
            <family val="2"/>
          </rPr>
          <t>WDT: defect typification type:
- Product Type
- Implementation Type</t>
        </r>
      </text>
    </comment>
    <comment ref="G1" authorId="0" shapeId="0" xr:uid="{00000000-0006-0000-0400-000006000000}">
      <text>
        <r>
          <rPr>
            <b/>
            <sz val="8"/>
            <color indexed="81"/>
            <rFont val="Tahoma"/>
            <family val="2"/>
          </rPr>
          <t xml:space="preserve">WDT: </t>
        </r>
        <r>
          <rPr>
            <sz val="8"/>
            <color indexed="81"/>
            <rFont val="Tahoma"/>
            <family val="2"/>
          </rPr>
          <t>Comments</t>
        </r>
      </text>
    </comment>
    <comment ref="H1" authorId="0" shapeId="0" xr:uid="{00000000-0006-0000-0400-000007000000}">
      <text>
        <r>
          <rPr>
            <b/>
            <sz val="8"/>
            <color indexed="81"/>
            <rFont val="Tahoma"/>
            <family val="2"/>
          </rPr>
          <t xml:space="preserve">WDT: </t>
        </r>
        <r>
          <rPr>
            <sz val="8"/>
            <color indexed="81"/>
            <rFont val="Tahoma"/>
            <family val="2"/>
          </rPr>
          <t>R&amp;D coments
about possible resolution</t>
        </r>
      </text>
    </comment>
    <comment ref="I1" authorId="0" shapeId="0" xr:uid="{00000000-0006-0000-0400-000008000000}">
      <text>
        <r>
          <rPr>
            <b/>
            <sz val="8"/>
            <color indexed="81"/>
            <rFont val="Tahoma"/>
            <family val="2"/>
          </rPr>
          <t>WDT:</t>
        </r>
        <r>
          <rPr>
            <sz val="8"/>
            <color indexed="81"/>
            <rFont val="Tahoma"/>
            <family val="2"/>
          </rPr>
          <t xml:space="preserve">Who is assigned the responsibility of the resolution.
</t>
        </r>
      </text>
    </comment>
    <comment ref="L1" authorId="0" shapeId="0" xr:uid="{00000000-0006-0000-0400-000009000000}">
      <text>
        <r>
          <rPr>
            <b/>
            <sz val="8"/>
            <color indexed="81"/>
            <rFont val="Tahoma"/>
            <family val="2"/>
          </rPr>
          <t xml:space="preserve">WDT: </t>
        </r>
        <r>
          <rPr>
            <sz val="8"/>
            <color indexed="81"/>
            <rFont val="Tahoma"/>
            <family val="2"/>
          </rPr>
          <t xml:space="preserve">See on the sheet "Reference" the possible status list.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<sst xmlns="http://schemas.openxmlformats.org/spreadsheetml/2006/main" count="551" uniqueCount="299">
  <si>
    <t>OVERALL TEST CASE STATUS</t>
  </si>
  <si>
    <t>OVERALL DEFECT STATUS</t>
  </si>
  <si>
    <t>OVERALL "OPEN" DEFECTS 
(i.e. New, Under Analysis, Working, Reopen)</t>
  </si>
  <si>
    <t>Defect classification type 
(i.e. Product Type" or "Implementation Type)</t>
  </si>
  <si>
    <t>CASE STATUS</t>
  </si>
  <si>
    <t>NR</t>
  </si>
  <si>
    <t>%</t>
  </si>
  <si>
    <t>DEFECT STATUS</t>
  </si>
  <si>
    <t>NOTE</t>
  </si>
  <si>
    <t>DEFECT PRIORITY</t>
  </si>
  <si>
    <t>DEFECT TYPIFICATION</t>
  </si>
  <si>
    <t>NOT STARTED</t>
  </si>
  <si>
    <t>NEW</t>
  </si>
  <si>
    <t>HIGH</t>
  </si>
  <si>
    <t>Product Type</t>
  </si>
  <si>
    <t>IN PROGRESS</t>
  </si>
  <si>
    <t>MEDIUM</t>
  </si>
  <si>
    <t>Implementation type</t>
  </si>
  <si>
    <t>OK</t>
  </si>
  <si>
    <t>LOW</t>
  </si>
  <si>
    <t>NOK</t>
  </si>
  <si>
    <t>Service Impact</t>
  </si>
  <si>
    <t>No Service Impact</t>
  </si>
  <si>
    <t>TOTAL</t>
  </si>
  <si>
    <t>TEST CYCLE</t>
  </si>
  <si>
    <t>STEP NUMBER</t>
  </si>
  <si>
    <t>STEP DESCRIPTION</t>
  </si>
  <si>
    <t>INPUT DATA</t>
  </si>
  <si>
    <t>EXPECTED RESULT</t>
  </si>
  <si>
    <t>ACTUAL STEP RESULT</t>
  </si>
  <si>
    <t>TEST CASE STATUS</t>
  </si>
  <si>
    <t>CATEGORY</t>
  </si>
  <si>
    <t>ASSIGNED_TO</t>
  </si>
  <si>
    <t>START DATE</t>
  </si>
  <si>
    <t>END DATE</t>
  </si>
  <si>
    <t>NR. OF EXECUTIONS</t>
  </si>
  <si>
    <t>COMPLETE SUCCESSFULLY %</t>
  </si>
  <si>
    <t>NOTES</t>
  </si>
  <si>
    <t>Portal</t>
  </si>
  <si>
    <t>TestID</t>
  </si>
  <si>
    <t>U1</t>
  </si>
  <si>
    <t>Not Started</t>
  </si>
  <si>
    <t>TestDescription</t>
  </si>
  <si>
    <t>User Management</t>
  </si>
  <si>
    <t>RequirementID</t>
  </si>
  <si>
    <t>Test Preconditions</t>
  </si>
  <si>
    <t>User should be able to login/logout to the RAID system</t>
  </si>
  <si>
    <t xml:space="preserve">Login with your username and password </t>
  </si>
  <si>
    <t>User should be successfully logged in.</t>
  </si>
  <si>
    <t>Click on the top right menu, select the "Sites &amp; Pages" and select "Fraud Management" site</t>
  </si>
  <si>
    <t>Fraud Management site home page should be visible.</t>
  </si>
  <si>
    <t>Click on the "Sign Out" option located next to the "Manage Account" option at the bottom left corner of the side menu.</t>
  </si>
  <si>
    <t>User should be redirected to the login page after clicking on the "Sign Out" option</t>
  </si>
  <si>
    <t>P1</t>
  </si>
  <si>
    <t>Portal Navigation</t>
  </si>
  <si>
    <t xml:space="preserve">User should be able to see the portal tree </t>
  </si>
  <si>
    <t>Fllowing links should be available in the left side menu
BUSINESS OVERVIEW
INBOX
FRAUD MANAGEMENT 
		Fraud Center 
		Rules Management
		Rules Lists 
		Engine Management Console
INVESTIGATION CENTER
		Ad Hoc Queries 
		Global Data search
FINANCIAL REPORTS 
		Fraud Amounts 
		Fraud Loss 
BUSINESS STATISTICS
	Case Statistics 
		Cases overview 
		Cases reclassification
		Case events recovery 
		Efficiency 
		Analyst Statistics
		Team performance
		SLA Overview 
	Rule Statistics
		Overview 
		Effectiveness 
		Performance 
		Fraud Rule Optimizer Analysis 
OPERATIONAL REPORTS
 		System Auditing
		Semaphore Control
SYSTEM PARAMETERS 
 		Business 
		Operational
SETTINGS TOOLBOX
		Configuration
		Operational</t>
  </si>
  <si>
    <t>User should be able to see links and sub links while hovering the mouse on the left side menu</t>
  </si>
  <si>
    <t xml:space="preserve"> </t>
  </si>
  <si>
    <t>User should be able to click on the links</t>
  </si>
  <si>
    <t>P2</t>
  </si>
  <si>
    <t>User should be able to see the online help</t>
  </si>
  <si>
    <t xml:space="preserve">Click on the online help button (?) on the top right side of the screen </t>
  </si>
  <si>
    <t>User should be able to see the hyper links to the pages that contains the searched text</t>
  </si>
  <si>
    <t xml:space="preserve">provide any text(E.g. "Loading" or "Lookups" etc )  and press enter </t>
  </si>
  <si>
    <t xml:space="preserve">On click on these hyperlinks, the user should be redirected to online help pages </t>
  </si>
  <si>
    <t xml:space="preserve"> Loadings</t>
  </si>
  <si>
    <t>L1</t>
  </si>
  <si>
    <t>Loading</t>
  </si>
  <si>
    <t xml:space="preserve">Loading :: Zain Ctrl LD MSC Eric -VOICE/SMS Evt Prs        </t>
  </si>
  <si>
    <t>Pre process Ericssion raw file.</t>
  </si>
  <si>
    <t>Files are located in the input directories</t>
  </si>
  <si>
    <t>Execute Control Loading Flow (Zain Ctrl LD MSC Eric -VOICE/SMS Evt Prs) to do pre parsing</t>
  </si>
  <si>
    <t>Sample files</t>
  </si>
  <si>
    <t>No errors occured during execution</t>
  </si>
  <si>
    <t>Validate target directories have correct output:
/appsdata/rafm_data/data/loading/msc/in
/appsdata/rafm_data/data/loading/smsc/in</t>
  </si>
  <si>
    <t>Files exist on target directories and have correct format and output</t>
  </si>
  <si>
    <t>L2</t>
  </si>
  <si>
    <t xml:space="preserve">Loading :: WDT Ctrl LD MSC        </t>
  </si>
  <si>
    <t>Enrichment of Voice Events.</t>
  </si>
  <si>
    <t>Execute Control Loading Flow (WDT Ctrl LD MSC) to do loading for Voice Events.</t>
  </si>
  <si>
    <t xml:space="preserve">Validate the processed files are moved to the below folder:
/appsdata/rafm_data/data/loading/msc/out
</t>
  </si>
  <si>
    <t>Processed files should be moved to out directory</t>
  </si>
  <si>
    <t xml:space="preserve">Validate target directories have correct output for Detection flows
/appsdata/rafm_data/datafms/detection/subscribers/events/in/
/appsdata/rafm_data/datafms/detection/offnet_subscribers/events/in/
</t>
  </si>
  <si>
    <t>Files exist on target directories and have correct format and output,
Detection files generated by MSC loading flow should start with DET_MSC_.
File should be compressed.</t>
  </si>
  <si>
    <t>Navigate to Ad hoc queries and apply filter to fetch processed record.</t>
  </si>
  <si>
    <t>Processed record should be visible.</t>
  </si>
  <si>
    <t>Navigate to Global Data search (data section).</t>
  </si>
  <si>
    <t>Check for the validity of failed events for the file processed.</t>
  </si>
  <si>
    <t>Only Valid rejections should be there.</t>
  </si>
  <si>
    <t>L3</t>
  </si>
  <si>
    <t xml:space="preserve">Loading :: WDT Ctrl LD SMSC        </t>
  </si>
  <si>
    <t>Enrichment of SMS Events.</t>
  </si>
  <si>
    <t>Execute Control Loading Flow (WDT Ctrl LD SMSC) to do loading for Voice Events.</t>
  </si>
  <si>
    <t xml:space="preserve">Validate the processed files are moved to the below folder:
/appsdata/rafm_data/data/loading/smsc/out
</t>
  </si>
  <si>
    <t xml:space="preserve">Validate target directories have correct output for Detection flows.
/appsdata/rafm_data/datafms/detection/subscribers/events/in/
/appsdata/rafm_data/datafms/detection/offnet_subscribers/events/in/
</t>
  </si>
  <si>
    <t>Files exist on target directories 
Detection files generated by SMSC loading flow should start with DET_SMSC_.</t>
  </si>
  <si>
    <t>Processed records should be visible.</t>
  </si>
  <si>
    <t>Detection</t>
  </si>
  <si>
    <t>Det1</t>
  </si>
  <si>
    <t>ACM</t>
  </si>
  <si>
    <t>ACM : Alert Generation</t>
  </si>
  <si>
    <t>Case generation</t>
  </si>
  <si>
    <t>Relevant input data/hotlist/reference data/Rules should be present.</t>
  </si>
  <si>
    <t xml:space="preserve">
Validate if Alerts are getting generated for WDT Ctrl DET Eval Offnet Subscribers.
</t>
  </si>
  <si>
    <t>1. Flow should be completed successfully
2. New alerts generated by the engine should be available in the  "Business Statistics" -&gt; "Rule Statistics" -&gt; "Overview"  -&gt; "Detection Rules"
3. User should be able to filter the alerts based on the "Engine Name" and "Rule Name"</t>
  </si>
  <si>
    <t>Verify input files for Alarm generation in the below given folder.
/appsdata/rafm_data/datafms/correlation/offnet_subscriber/in/1/</t>
  </si>
  <si>
    <t>A file should be generated in the correlation flow input folder for the alarm generation</t>
  </si>
  <si>
    <t>Det2</t>
  </si>
  <si>
    <t xml:space="preserve">
Validate if Alerts are getting generated for WDT DET IRSF HL BNum Offnet Subscribers.</t>
  </si>
  <si>
    <t>Det3</t>
  </si>
  <si>
    <t xml:space="preserve">
Validate if Alerts are getting generated by  WDT Ctrl DET IRSF HL BNum Subscribers</t>
  </si>
  <si>
    <t>Verify input files for Alarm generation in the below given folder.
/appsdata/rafm_data/datafms/correlation/subscriber/in/1/</t>
  </si>
  <si>
    <t>Det4</t>
  </si>
  <si>
    <t xml:space="preserve">
Validate if Alerts are getting generated  by WDT Ctrl DET IRSF HL Subscribers</t>
  </si>
  <si>
    <t>Det5</t>
  </si>
  <si>
    <t>Relevant input data/hotlist/reference data should be present.</t>
  </si>
  <si>
    <t xml:space="preserve">
Validate if Alerts are getting generated by WDT Ctrl DET IRSF HU Offnet Int</t>
  </si>
  <si>
    <t>Correlation</t>
  </si>
  <si>
    <t>Cor1</t>
  </si>
  <si>
    <t>ACM : Alarm Generation</t>
  </si>
  <si>
    <t>Alert should be generated and delta file should be present in the correlation input folder.</t>
  </si>
  <si>
    <t xml:space="preserve">
Validate if Alarms are getting generated by WDT Ctrl COR Subscribers.</t>
  </si>
  <si>
    <t>1. Flow should be completed successfully
2. New alerts generated by the engine should be available in the  "Business Statistics" -&gt; "Rule Statistics" -&gt; "Overview"  -&gt; "Correlation Rules"
3. User should be able to filter the alerts based on the "Engine Name" and "Rule Name"</t>
  </si>
  <si>
    <t>Cor2</t>
  </si>
  <si>
    <t xml:space="preserve">
Validate if Alarms are getting generated by WDT Ctrl COR Offnet Subscriber.</t>
  </si>
  <si>
    <t>Reporting</t>
  </si>
  <si>
    <t>Dsh1</t>
  </si>
  <si>
    <t>Dashboard</t>
  </si>
  <si>
    <t>Dashboard::Inbox</t>
  </si>
  <si>
    <t>Check Dashboard Content</t>
  </si>
  <si>
    <t>Cases should be available.</t>
  </si>
  <si>
    <t>select "Inbox" from left side menu</t>
  </si>
  <si>
    <t>User should be able to click on the "Inbox"</t>
  </si>
  <si>
    <t xml:space="preserve">
Validate all the filters are working as per expectation.
</t>
  </si>
  <si>
    <t>Not expected to have error messages on the screen.
Filter should successfully apply.</t>
  </si>
  <si>
    <t xml:space="preserve">
Validate actions like claim-assign and discard is working.</t>
  </si>
  <si>
    <t>User should be able to claim, assign and discard cases</t>
  </si>
  <si>
    <t>Dsh2</t>
  </si>
  <si>
    <t>Dashboard::Inbox - Cases</t>
  </si>
  <si>
    <t>select "Inbox" from left side menu and click on "View Case"</t>
  </si>
  <si>
    <t>User should be able to click on the "Inbox" 
User should be able to view the selected case content</t>
  </si>
  <si>
    <t>Validate alarm timeline is according to the alarm generated</t>
  </si>
  <si>
    <t xml:space="preserve">Not expected to have error messages on the screen.
</t>
  </si>
  <si>
    <t>Validate participating records are according to the alert generated.</t>
  </si>
  <si>
    <t>Participated record information should be displayed in the inbox page</t>
  </si>
  <si>
    <t>Dsh3</t>
  </si>
  <si>
    <t>Dashboard::Inbox - Cases Actions</t>
  </si>
  <si>
    <t>Case should be claimed/assigned to the user</t>
  </si>
  <si>
    <t>select "Inbox" from left side menu and click on "Analyse Case".</t>
  </si>
  <si>
    <t>User should be able to open the case which is assigned to him or should be able to claim a  case with status "New".</t>
  </si>
  <si>
    <t>Closed Case as Fraud.</t>
  </si>
  <si>
    <t>User should be able to close case as Fraud
User should be able to enter prevented amount, recovered amount, loss amount while closing the case 
Closed case information should be available in the inbox -  closed case page</t>
  </si>
  <si>
    <t>Closed Case as Non Fraud</t>
  </si>
  <si>
    <t>User should be able to close case as Non-Fraud
Closed case information should be available in the inbox -  closed case section</t>
  </si>
  <si>
    <t>Dsh4</t>
  </si>
  <si>
    <t>Dashboard::Inbox - Cases Actions to VPE</t>
  </si>
  <si>
    <t>Send for VPE for block</t>
  </si>
  <si>
    <t xml:space="preserve">User should be able to open the case which is assigned to him and under status "Under Analysis" </t>
  </si>
  <si>
    <t>Click on "Send VPE" Action for blocking the number in voice firewall.</t>
  </si>
  <si>
    <t>1. A file should be generated in the SFTP folder of VPE block. 
2. File should be in the required format which is discussed with VPE team.</t>
  </si>
  <si>
    <t>Dsh5</t>
  </si>
  <si>
    <t>Dashboard::Investigation Center &gt;&gt; Global Data Search</t>
  </si>
  <si>
    <t>Test case L1, L2 and L3 should be completed</t>
  </si>
  <si>
    <t>Login to Portal and navigate to Investigation Center &gt;&gt; Global Data Search
- Search Events for a particular MSISDN
-Validate datalist data on " Voice", "SMS" Events
- Change the date and verify the user is able to fetch the events for different dates.</t>
  </si>
  <si>
    <t>Not expected to have error messages on the screen.
Filter should successfully apply.
User should be able to export the data.
User should be able to change the date using date widget.</t>
  </si>
  <si>
    <t>Dsh6</t>
  </si>
  <si>
    <t xml:space="preserve">Dashboard::Investigation Center &gt;&gt; Ad Hoc Queries </t>
  </si>
  <si>
    <t xml:space="preserve">Login to Portal and navigate to Investigation Center &gt;&gt; Ad Hoc Queries
- Search Events for a particular MSISDN
-Validate datalist data on " Voice", "SMS" Events
</t>
  </si>
  <si>
    <t>Not expected to have error messages on the screen.
Filter should successfully apply.
User should be able to export the data in CSV/Excel format.</t>
  </si>
  <si>
    <t>Dsh7</t>
  </si>
  <si>
    <t>Dashboard:: Fraud Management &gt;&gt; Fraud Center &gt; Hotlists</t>
  </si>
  <si>
    <t>User should be able to access the RAID GUI  and Fraud Administrator site.</t>
  </si>
  <si>
    <t>Not expected to have error messages on the screen.
User should be able to add/update/delete the hotlists entries</t>
  </si>
  <si>
    <t>Dsh8</t>
  </si>
  <si>
    <t>Dashboard:: Fraud Management &gt;&gt; Rule Management</t>
  </si>
  <si>
    <t>Engines should be created and added in engine tree</t>
  </si>
  <si>
    <t>Go to Fraud Management &gt;&gt; Rule Managment
- Create , Update and delete a new/existing  rule.</t>
  </si>
  <si>
    <t xml:space="preserve">Not expected to have error messages on the screen.
user should be create/modify/delete existing rules.
user should be able to activiate/deactivate existing rules 
user should be able to use the hotlists in the rules </t>
  </si>
  <si>
    <t>Dsh9</t>
  </si>
  <si>
    <t xml:space="preserve">Dashboard::Operational Reports &gt;&gt; System Auditing </t>
  </si>
  <si>
    <t>Test case related to Loading and Detection should be completed</t>
  </si>
  <si>
    <t xml:space="preserve">Go to Operational Reports &gt;&gt; System Auditing
and verify the data available in the report.
</t>
  </si>
  <si>
    <t>System auditing dashboard should display the details if any execution is in error for following types
1. Loading
2. Detection 
3. Correlation 
4. Housekeeping 
Verify the indicators displayed in the dashboard.</t>
  </si>
  <si>
    <t>Dsh10</t>
  </si>
  <si>
    <t>Dashboard:: Financial Reports &gt;&gt; Fraud Amount</t>
  </si>
  <si>
    <t>Atleast one case should be closed as "Fraud"</t>
  </si>
  <si>
    <t>Go to  Financial Reports &gt;&gt; Fraud Amount
- Check for various indicators.</t>
  </si>
  <si>
    <t xml:space="preserve">Not expected to have error messages on the screen.
Filter should successfully apply.
</t>
  </si>
  <si>
    <t>Dsh11</t>
  </si>
  <si>
    <t>Dashboard:: Financial Reports &gt;&gt; Fraud Loss</t>
  </si>
  <si>
    <t>Go to  Financial Reports &gt;&gt; Fraud Loss
- Check for various indicators.</t>
  </si>
  <si>
    <t>Dsh12</t>
  </si>
  <si>
    <t>Dashboard:: Business Statisitcs &gt;&gt; Cases Statistics &gt; Case Overview</t>
  </si>
  <si>
    <t>Cases should be there and actions should be taken already.</t>
  </si>
  <si>
    <t>Go to  Business Statisitcs &gt;&gt; Cases Statistics &gt; Case Overview
- Check for various indicators.</t>
  </si>
  <si>
    <t>Not expected to have error messages on the screen.
Indicators available in the dashboard should be upto date.
Filter should successfully apply.</t>
  </si>
  <si>
    <t>Dsh13</t>
  </si>
  <si>
    <t>Dashboard:: Business Statisitcs &gt;&gt; Rules Statistics &gt; Rule Overview</t>
  </si>
  <si>
    <t>Go to  Business Statisitcs &gt;&gt; Rules Statistics &gt; Rule Overview
- Check for various indicators.</t>
  </si>
  <si>
    <t>House Keeping</t>
  </si>
  <si>
    <t>HK1</t>
  </si>
  <si>
    <t xml:space="preserve">Housekeeping :: WDT HK Database   </t>
  </si>
  <si>
    <t xml:space="preserve">DB tables should have data </t>
  </si>
  <si>
    <t>Execute Housekeeping Flow (WDT HK Database)</t>
  </si>
  <si>
    <t xml:space="preserve">Flow instance should get completed succesfully. </t>
  </si>
  <si>
    <t>Data on the tables should get cleared based on the HK configuration in the reference data WDT Ref Housekeeping Management"
to view the reference data, Navigate to System Parameter -&gt; Operational -&gt; Housekeeping Management -&gt; Search for Database</t>
  </si>
  <si>
    <t>Data older than the configured value (E.g. 30 days) should be deleted for the selected ENTITY</t>
  </si>
  <si>
    <t xml:space="preserve">Verify the flow execution status from System Auditing -&gt; View statistics -&gt; Other process -&gt; Select "WDT HK Database" and verify the execution status </t>
  </si>
  <si>
    <t>latest execution status should be available in the Auditing dashboard. System auditing data can be refereshed by scheduler for every 5 minute or by clicking manually on the "Refresh Now" button</t>
  </si>
  <si>
    <t>HK2</t>
  </si>
  <si>
    <t>Housekeeping :: WDT HK Filesystem</t>
  </si>
  <si>
    <t xml:space="preserve">File directories should have existing files </t>
  </si>
  <si>
    <t xml:space="preserve">Execute flow WDT HK Filesystem </t>
  </si>
  <si>
    <t>HK file system flow should get completed succesfully</t>
  </si>
  <si>
    <t>Data on the folderes should get cleared based on the HK configuration in the reference data WDT Ref Housekeeping Management"
to view the reference data, Navigate to System Parameter -&gt; Operational -&gt; Housekeeping Management -&gt; Seach for DATA_FILES</t>
  </si>
  <si>
    <t xml:space="preserve">Files older than the configured (E.g. 30 days) should be deleted </t>
  </si>
  <si>
    <t xml:space="preserve">Verify the flow execution status from System Auditing -&gt; View statistics -&gt; Other process -&gt; Select "WDT HK Filesystem" and verify the execution status </t>
  </si>
  <si>
    <t>DEFECT ID</t>
  </si>
  <si>
    <t>TEST CASE ID/NAME</t>
  </si>
  <si>
    <t>INITIALIZER</t>
  </si>
  <si>
    <t>DEFECT DESCRIPTION</t>
    <phoneticPr fontId="9" type="noConversion"/>
  </si>
  <si>
    <t>PRIORITY</t>
  </si>
  <si>
    <t>COMMENTS / HISTORY</t>
  </si>
  <si>
    <t>RESOLUTION ACTIONS</t>
  </si>
  <si>
    <t>RESOLUTION RESPONSIBLE</t>
  </si>
  <si>
    <t>DEFECT DETECTED ON
DATE</t>
  </si>
  <si>
    <t>ACTUAL RESOLUTION 
DATE</t>
  </si>
  <si>
    <t>STATUS</t>
  </si>
  <si>
    <t>Enhancement ID</t>
  </si>
  <si>
    <t xml:space="preserve">Requirment Summary </t>
  </si>
  <si>
    <t>Raised By</t>
  </si>
  <si>
    <t>Requirment Details</t>
  </si>
  <si>
    <t>CLOSED BY</t>
  </si>
  <si>
    <t>Priority</t>
  </si>
  <si>
    <t>Defect Status</t>
  </si>
  <si>
    <t>Description</t>
  </si>
  <si>
    <t>Category name</t>
  </si>
  <si>
    <t>Case Status</t>
  </si>
  <si>
    <t>Defect Tipification</t>
  </si>
  <si>
    <t>High</t>
  </si>
  <si>
    <t>New issue raised</t>
  </si>
  <si>
    <t>Medium</t>
  </si>
  <si>
    <t>UNDER ANALYSIS</t>
  </si>
  <si>
    <t>Issue being analysed</t>
  </si>
  <si>
    <t>Low</t>
  </si>
  <si>
    <t>WORKING</t>
  </si>
  <si>
    <t>Fixing defect</t>
  </si>
  <si>
    <t>Common Test Case</t>
  </si>
  <si>
    <t>REOPEN</t>
  </si>
  <si>
    <t>Failed in retest</t>
  </si>
  <si>
    <t>Case Management</t>
  </si>
  <si>
    <t>POSTPONED</t>
  </si>
  <si>
    <t>To be evaluated later</t>
  </si>
  <si>
    <t>DISCARDED</t>
  </si>
  <si>
    <t>REJECTED</t>
  </si>
  <si>
    <t>Issue was rejected</t>
  </si>
  <si>
    <t>FIXED</t>
  </si>
  <si>
    <t>Ready for retest</t>
  </si>
  <si>
    <t>CLOSED</t>
  </si>
  <si>
    <t>Retested OK</t>
  </si>
  <si>
    <t xml:space="preserve">User is able to login to the portal with username and password. </t>
  </si>
  <si>
    <t xml:space="preserve">User is able to see the fraud management site </t>
  </si>
  <si>
    <t>User is getting redirected to login page once the user click on the sign out option</t>
  </si>
  <si>
    <t>User is able to see all required links in the portal.</t>
  </si>
  <si>
    <t>User us able to see the hyper link that contains the searched text.</t>
  </si>
  <si>
    <t>On click on the hyper links, the user is able to see the detailed information</t>
  </si>
  <si>
    <t xml:space="preserve">L2 </t>
  </si>
  <si>
    <t>WDT Ctrl LD MSC</t>
  </si>
  <si>
    <t xml:space="preserve">need to check whether the tasks such as DS IMEI, DS ROAMERS 
/appsdata/rafm_data/datastore/imei/1 - 155 GB </t>
  </si>
  <si>
    <t>17-06-2025</t>
  </si>
  <si>
    <r>
      <t xml:space="preserve">MSC records are getting rejected with following error. 
</t>
    </r>
    <r>
      <rPr>
        <b/>
        <sz val="8"/>
        <rFont val="Arial"/>
        <family val="2"/>
      </rPr>
      <t>1.</t>
    </r>
    <r>
      <rPr>
        <sz val="8"/>
        <rFont val="Arial"/>
        <family val="2"/>
      </rPr>
      <t xml:space="preserve">  an error related to lookup
Error executing statement Lookup (name=WDT Tariffs) . Reason: Index DESTINATION_PREFIX for lookup named WDT Tariffs doesnt allow null values
	at wedo.jaf.smarttransform2.engine.StandardEngine.execute(StandardEngine.java:119)
</t>
    </r>
    <r>
      <rPr>
        <b/>
        <sz val="8"/>
        <rFont val="Arial"/>
        <family val="2"/>
      </rPr>
      <t xml:space="preserve">2. </t>
    </r>
    <r>
      <rPr>
        <sz val="8"/>
        <rFont val="Arial"/>
        <family val="2"/>
      </rPr>
      <t xml:space="preserve">wedo.jaf.cbpm.flow.ProcessErrorException: Error executing task Business Logic due to Error executing statement Set (Flow::VAR_IMEI_LAST_DIGIT = $Right({Flow::VAR_IMEI},1)). Reason: Error while evaluating WEL
Expression: [$Right({Flow::VAR_IMEI}, 1)] </t>
    </r>
  </si>
  <si>
    <t>Few records are getting discard because of the B Number format issue. 
rdr_CALLED_PARTY_NUMBER (String) "119627959641980962795964198"
do we need to inform customer or is it some valid scenario</t>
  </si>
  <si>
    <t>No errors observed during the execution</t>
  </si>
  <si>
    <t>Processed files moved to out dir</t>
  </si>
  <si>
    <t>Files existing on target directory</t>
  </si>
  <si>
    <t>processed records are available in IWB</t>
  </si>
  <si>
    <t xml:space="preserve">L3 </t>
  </si>
  <si>
    <t>Some times the A NUMBER is not looking correct for SMSMT events. 
12397737</t>
  </si>
  <si>
    <t xml:space="preserve">Number normalization is not properly happening for offnet events 
B Number: 00962796608074 
expected to have without 00 </t>
  </si>
  <si>
    <t>18-06-2025</t>
  </si>
  <si>
    <t xml:space="preserve">No error observed </t>
  </si>
  <si>
    <t>m</t>
  </si>
  <si>
    <t>files moved to out directory</t>
  </si>
  <si>
    <t>Flow completed without any issues and alerts generated properly</t>
  </si>
  <si>
    <t>Delta file generated and the alarms also generated</t>
  </si>
  <si>
    <t>Go to Fraud Management &gt;&gt; Fraud Center &gt; Hotlists
- Create , Update and delete entry in  Hotlist.
for example, "Wangiri Numbers"</t>
  </si>
  <si>
    <t>User is able to see all hotlists available in the system
User is able to create new hotlist
user is able manipulate the data in the hotlists</t>
  </si>
  <si>
    <t>User is able to perform all the actions such as modify, edit, create and debug of the rules.</t>
  </si>
  <si>
    <t>User is able to execute adhoc queries and fetch the data properly</t>
  </si>
  <si>
    <t>User is able to fetch the records with a single msisdn using this page. No error observed</t>
  </si>
  <si>
    <t>Flow gets finished, However it is failing with error "
2025-06-18 20:23:55,906 [.JobManager.Wrk.1136] ERROR wedo.cbpm.task.TaskFileOperation.[Delete Files] JAF_G1000 [] -  wedo.jaf.util.IncorrectTypeException: Parameter could not converted into java.util.Date from java.lang.Long -&gt; 1,747,848,233"</t>
  </si>
  <si>
    <t>HK Database works with no error</t>
  </si>
  <si>
    <t>System auditing flow is in error</t>
  </si>
  <si>
    <t>Short code related cases need to be cleaned and add a permanent fix to remove the short code related alerts</t>
  </si>
  <si>
    <t xml:space="preserve">User is able to view the content of the case </t>
  </si>
  <si>
    <t>alarms and alerts are displaying in the case</t>
  </si>
  <si>
    <t>Some of the fields are disabled in the case decision dashboard which need to be filled while closing the case.
It was disabled as part of the demo.</t>
  </si>
  <si>
    <t>COR Offnet engine is able to generate alarms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</si>
</sst>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409]dd\-mmm\-yy;@"/>
    <numFmt numFmtId="166" formatCode="dd/mm/yy;@"/>
  </numFmts>
  <fonts count="23" x14ac:knownFonts="1">
    <font>
      <sz val="10"/>
      <name val="Arial"/>
      <family val="2"/>
    </font>
    <font>
      <sz val="10"/>
      <name val="Arial"/>
      <family val="2"/>
    </font>
    <font>
      <sz val="8"/>
      <name val="Arial"/>
      <family val="2"/>
    </font>
    <font>
      <b/>
      <sz val="8"/>
      <name val="Arial"/>
      <family val="2"/>
    </font>
    <font>
      <b/>
      <sz val="10"/>
      <name val="Arial"/>
      <family val="2"/>
    </font>
    <font>
      <b/>
      <sz val="8"/>
      <color indexed="9"/>
      <name val="Arial"/>
      <family val="2"/>
    </font>
    <font>
      <sz val="10"/>
      <name val="Arial"/>
      <family val="2"/>
    </font>
    <font>
      <sz val="9"/>
      <name val="Arial"/>
      <family val="2"/>
    </font>
    <font>
      <b/>
      <i/>
      <sz val="10"/>
      <name val="Arial"/>
      <family val="2"/>
    </font>
    <font>
      <sz val="8"/>
      <name val="Arial"/>
      <family val="2"/>
    </font>
    <font>
      <sz val="10"/>
      <name val="Helv"/>
      <family val="2"/>
    </font>
    <font>
      <sz val="12"/>
      <name val="新細明體"/>
      <family val="1"/>
    </font>
    <font>
      <sz val="9"/>
      <name val="細明體"/>
      <family val="3"/>
      <charset val="136"/>
    </font>
    <font>
      <b/>
      <sz val="14"/>
      <color indexed="9"/>
      <name val="Arial"/>
      <family val="2"/>
    </font>
    <font>
      <sz val="14"/>
      <name val="Arial"/>
      <family val="2"/>
    </font>
    <font>
      <sz val="12"/>
      <name val="Arial"/>
      <family val="2"/>
    </font>
    <font>
      <b/>
      <sz val="11"/>
      <name val="Arial"/>
      <family val="2"/>
    </font>
    <font>
      <sz val="11"/>
      <name val="Arial"/>
      <family val="2"/>
    </font>
    <font>
      <b/>
      <sz val="14"/>
      <name val="Arial"/>
      <family val="2"/>
    </font>
    <font>
      <sz val="8"/>
      <color indexed="81"/>
      <name val="Tahoma"/>
      <family val="2"/>
    </font>
    <font>
      <b/>
      <sz val="8"/>
      <color indexed="81"/>
      <name val="Tahoma"/>
      <family val="2"/>
    </font>
    <font>
      <sz val="11"/>
      <name val="Calibri"/>
      <family val="2"/>
    </font>
    <font>
      <b/>
      <sz val="10"/>
      <color indexed="9"/>
      <name val="Arial"/>
      <family val="2"/>
    </font>
  </fonts>
  <fills count="16">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9"/>
        <bgColor indexed="64"/>
      </patternFill>
    </fill>
    <fill>
      <patternFill patternType="solid">
        <fgColor indexed="55"/>
        <bgColor indexed="64"/>
      </patternFill>
    </fill>
    <fill>
      <patternFill patternType="solid">
        <fgColor theme="0"/>
        <bgColor indexed="64"/>
      </patternFill>
    </fill>
    <fill>
      <patternFill patternType="solid">
        <fgColor theme="9" tint="0.7999816888943144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9"/>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00B0F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10">
    <xf numFmtId="0" fontId="0" fillId="0" borderId="0"/>
    <xf numFmtId="0" fontId="1" fillId="0" borderId="0"/>
    <xf numFmtId="0" fontId="10" fillId="0" borderId="0"/>
    <xf numFmtId="0" fontId="7" fillId="0" borderId="0"/>
    <xf numFmtId="0" fontId="7" fillId="0" borderId="0"/>
    <xf numFmtId="0" fontId="11" fillId="0" borderId="0">
      <alignment vertical="center"/>
    </xf>
    <xf numFmtId="0" fontId="6" fillId="0" borderId="0"/>
    <xf numFmtId="0" fontId="1" fillId="0" borderId="0"/>
    <xf numFmtId="0" fontId="1" fillId="0" borderId="0"/>
    <xf numFmtId="9" fontId="1" fillId="0" borderId="0" applyFont="0" applyFill="0" applyBorder="0" applyAlignment="0" applyProtection="0"/>
  </cellStyleXfs>
  <cellXfs count="227">
    <xf numFmtId="0" fontId="0" fillId="0" borderId="0" xfId="0"/>
    <xf numFmtId="0" fontId="9" fillId="0" borderId="0" xfId="6" applyFont="1" applyAlignment="1">
      <alignment vertical="top" wrapText="1"/>
    </xf>
    <xf numFmtId="0" fontId="13" fillId="0" borderId="0" xfId="4" applyFont="1" applyAlignment="1">
      <alignment horizontal="center" wrapText="1"/>
    </xf>
    <xf numFmtId="49" fontId="14" fillId="0" borderId="0" xfId="4" applyNumberFormat="1" applyFont="1" applyAlignment="1">
      <alignment horizontal="center" vertical="top" wrapText="1"/>
    </xf>
    <xf numFmtId="0" fontId="14" fillId="0" borderId="0" xfId="4" applyFont="1" applyAlignment="1">
      <alignment horizontal="center" vertical="top" wrapText="1"/>
    </xf>
    <xf numFmtId="164" fontId="14" fillId="0" borderId="0" xfId="4" applyNumberFormat="1" applyFont="1" applyAlignment="1">
      <alignment horizontal="center" vertical="top" wrapText="1"/>
    </xf>
    <xf numFmtId="0" fontId="14" fillId="0" borderId="0" xfId="4" applyFont="1" applyAlignment="1">
      <alignment vertical="top" wrapText="1"/>
    </xf>
    <xf numFmtId="0" fontId="3" fillId="2" borderId="1" xfId="6" applyFont="1" applyFill="1" applyBorder="1" applyAlignment="1">
      <alignment horizontal="center" vertical="center" wrapText="1"/>
    </xf>
    <xf numFmtId="0" fontId="3" fillId="2" borderId="1" xfId="6" applyFont="1" applyFill="1" applyBorder="1" applyAlignment="1">
      <alignment horizontal="left" vertical="center" wrapText="1"/>
    </xf>
    <xf numFmtId="0" fontId="9" fillId="0" borderId="2" xfId="6" applyFont="1" applyBorder="1" applyAlignment="1">
      <alignment vertical="center" wrapText="1"/>
    </xf>
    <xf numFmtId="49" fontId="3" fillId="2" borderId="1" xfId="6" applyNumberFormat="1" applyFont="1" applyFill="1" applyBorder="1" applyAlignment="1">
      <alignment horizontal="center" vertical="center" wrapText="1"/>
    </xf>
    <xf numFmtId="49" fontId="9" fillId="0" borderId="0" xfId="6" applyNumberFormat="1" applyFont="1" applyAlignment="1">
      <alignment horizontal="center" vertical="top" wrapText="1"/>
    </xf>
    <xf numFmtId="14" fontId="4" fillId="2" borderId="1" xfId="6" applyNumberFormat="1" applyFont="1" applyFill="1" applyBorder="1" applyAlignment="1">
      <alignment horizontal="center" vertical="top" wrapText="1"/>
    </xf>
    <xf numFmtId="14" fontId="6" fillId="0" borderId="0" xfId="6" applyNumberFormat="1" applyAlignment="1">
      <alignment vertical="top" wrapText="1"/>
    </xf>
    <xf numFmtId="0" fontId="6" fillId="0" borderId="1" xfId="6" applyBorder="1" applyAlignment="1">
      <alignment vertical="top" wrapText="1"/>
    </xf>
    <xf numFmtId="0" fontId="6" fillId="0" borderId="0" xfId="6" applyAlignment="1">
      <alignment vertical="top" wrapText="1"/>
    </xf>
    <xf numFmtId="0" fontId="1" fillId="0" borderId="0" xfId="0" applyFont="1"/>
    <xf numFmtId="0" fontId="15" fillId="0" borderId="0" xfId="5" applyFont="1">
      <alignment vertical="center"/>
    </xf>
    <xf numFmtId="0" fontId="14" fillId="0" borderId="0" xfId="5" applyFont="1">
      <alignment vertical="center"/>
    </xf>
    <xf numFmtId="0" fontId="16" fillId="0" borderId="0" xfId="5" applyFont="1">
      <alignment vertical="center"/>
    </xf>
    <xf numFmtId="0" fontId="17" fillId="0" borderId="0" xfId="5" applyFont="1">
      <alignment vertical="center"/>
    </xf>
    <xf numFmtId="0" fontId="18" fillId="0" borderId="0" xfId="5" applyFont="1" applyAlignment="1">
      <alignment horizontal="left" vertical="center"/>
    </xf>
    <xf numFmtId="0" fontId="1" fillId="0" borderId="0" xfId="1" applyAlignment="1">
      <alignment vertical="center"/>
    </xf>
    <xf numFmtId="14" fontId="7" fillId="0" borderId="4" xfId="1" applyNumberFormat="1" applyFont="1" applyBorder="1" applyAlignment="1">
      <alignment horizontal="center" vertical="center"/>
    </xf>
    <xf numFmtId="0" fontId="7" fillId="0" borderId="0" xfId="1" applyFont="1" applyAlignment="1">
      <alignment horizontal="center" vertical="center"/>
    </xf>
    <xf numFmtId="0" fontId="7" fillId="0" borderId="3" xfId="1" applyFont="1" applyBorder="1" applyAlignment="1">
      <alignment vertical="center"/>
    </xf>
    <xf numFmtId="0" fontId="0" fillId="0" borderId="0" xfId="0" applyAlignment="1">
      <alignment horizontal="center" vertical="center"/>
    </xf>
    <xf numFmtId="14" fontId="7" fillId="0" borderId="5" xfId="1" applyNumberFormat="1" applyFont="1" applyBorder="1" applyAlignment="1">
      <alignment horizontal="center" vertical="center"/>
    </xf>
    <xf numFmtId="0" fontId="7" fillId="0" borderId="6" xfId="1" applyFont="1" applyBorder="1" applyAlignment="1">
      <alignment horizontal="center" vertical="center"/>
    </xf>
    <xf numFmtId="0" fontId="1" fillId="0" borderId="7" xfId="1" applyBorder="1" applyAlignment="1">
      <alignment vertical="center"/>
    </xf>
    <xf numFmtId="14" fontId="7" fillId="0" borderId="5" xfId="0" applyNumberFormat="1" applyFont="1" applyBorder="1" applyAlignment="1">
      <alignment horizontal="center"/>
    </xf>
    <xf numFmtId="0" fontId="7" fillId="0" borderId="6" xfId="0" applyFont="1" applyBorder="1" applyAlignment="1">
      <alignment horizontal="center"/>
    </xf>
    <xf numFmtId="0" fontId="1" fillId="0" borderId="3" xfId="1" applyBorder="1" applyAlignment="1">
      <alignment vertical="center"/>
    </xf>
    <xf numFmtId="0" fontId="1" fillId="0" borderId="0" xfId="1" applyAlignment="1">
      <alignment horizontal="center" vertical="center"/>
    </xf>
    <xf numFmtId="0" fontId="2" fillId="0" borderId="4" xfId="1" applyFont="1" applyBorder="1" applyAlignment="1">
      <alignment vertical="center"/>
    </xf>
    <xf numFmtId="0" fontId="1" fillId="0" borderId="0" xfId="1" applyAlignment="1">
      <alignment horizontal="left" vertical="center"/>
    </xf>
    <xf numFmtId="0" fontId="2" fillId="0" borderId="4" xfId="0" applyFont="1" applyBorder="1"/>
    <xf numFmtId="0" fontId="1" fillId="0" borderId="4" xfId="1" applyBorder="1" applyAlignment="1">
      <alignment vertical="center"/>
    </xf>
    <xf numFmtId="0" fontId="8" fillId="0" borderId="4" xfId="1" applyFont="1" applyBorder="1" applyAlignment="1">
      <alignment vertical="center"/>
    </xf>
    <xf numFmtId="0" fontId="4" fillId="0" borderId="0" xfId="1" applyFont="1" applyAlignment="1">
      <alignment horizontal="center" vertical="center"/>
    </xf>
    <xf numFmtId="9" fontId="4" fillId="0" borderId="0" xfId="1" applyNumberFormat="1" applyFont="1" applyAlignment="1">
      <alignment horizontal="center" vertical="center"/>
    </xf>
    <xf numFmtId="0" fontId="4" fillId="3" borderId="8" xfId="1" applyFont="1" applyFill="1" applyBorder="1" applyAlignment="1">
      <alignment vertical="center"/>
    </xf>
    <xf numFmtId="0" fontId="4" fillId="3" borderId="9" xfId="1" applyFont="1" applyFill="1" applyBorder="1" applyAlignment="1">
      <alignment horizontal="center" vertical="center"/>
    </xf>
    <xf numFmtId="9" fontId="4" fillId="3" borderId="9" xfId="1" applyNumberFormat="1" applyFont="1" applyFill="1" applyBorder="1" applyAlignment="1">
      <alignment horizontal="center" vertical="center"/>
    </xf>
    <xf numFmtId="0" fontId="1" fillId="3" borderId="9" xfId="1" applyFill="1" applyBorder="1" applyAlignment="1">
      <alignment vertical="center"/>
    </xf>
    <xf numFmtId="0" fontId="1" fillId="3" borderId="10" xfId="1" applyFill="1" applyBorder="1" applyAlignment="1">
      <alignment vertical="center"/>
    </xf>
    <xf numFmtId="0" fontId="4" fillId="3" borderId="8" xfId="0" applyFont="1" applyFill="1" applyBorder="1"/>
    <xf numFmtId="0" fontId="4" fillId="3" borderId="9" xfId="0" applyFont="1" applyFill="1" applyBorder="1" applyAlignment="1">
      <alignment horizontal="center"/>
    </xf>
    <xf numFmtId="9" fontId="4" fillId="3" borderId="9" xfId="0" applyNumberFormat="1" applyFont="1" applyFill="1" applyBorder="1" applyAlignment="1">
      <alignment horizontal="center"/>
    </xf>
    <xf numFmtId="0" fontId="2" fillId="0" borderId="1" xfId="6" applyFont="1" applyBorder="1" applyAlignment="1">
      <alignment horizontal="center" vertical="top" wrapText="1"/>
    </xf>
    <xf numFmtId="0" fontId="0" fillId="0" borderId="1" xfId="6" applyFont="1" applyBorder="1" applyAlignment="1">
      <alignment horizontal="left" vertical="top" wrapText="1"/>
    </xf>
    <xf numFmtId="0" fontId="0" fillId="0" borderId="0" xfId="0" applyAlignment="1">
      <alignment horizontal="center"/>
    </xf>
    <xf numFmtId="9" fontId="0" fillId="0" borderId="0" xfId="0" applyNumberFormat="1" applyAlignment="1">
      <alignment horizontal="center"/>
    </xf>
    <xf numFmtId="0" fontId="0" fillId="0" borderId="3" xfId="0" applyBorder="1"/>
    <xf numFmtId="0" fontId="0" fillId="0" borderId="4" xfId="0" applyBorder="1"/>
    <xf numFmtId="0" fontId="0" fillId="0" borderId="1" xfId="1" applyFont="1" applyBorder="1" applyAlignment="1">
      <alignment vertical="center"/>
    </xf>
    <xf numFmtId="0" fontId="2" fillId="8" borderId="1" xfId="0" applyFont="1" applyFill="1" applyBorder="1" applyAlignment="1">
      <alignment vertical="top" wrapText="1"/>
    </xf>
    <xf numFmtId="0" fontId="2" fillId="9" borderId="1" xfId="0" applyFont="1" applyFill="1" applyBorder="1" applyAlignment="1">
      <alignment vertical="top"/>
    </xf>
    <xf numFmtId="0" fontId="2" fillId="10" borderId="1" xfId="0" applyFont="1" applyFill="1" applyBorder="1" applyAlignment="1">
      <alignment vertical="top" wrapText="1"/>
    </xf>
    <xf numFmtId="9" fontId="2" fillId="10" borderId="1" xfId="7" applyNumberFormat="1" applyFont="1" applyFill="1" applyBorder="1" applyAlignment="1" applyProtection="1">
      <alignment horizontal="center" vertical="top" wrapText="1"/>
      <protection locked="0"/>
    </xf>
    <xf numFmtId="0" fontId="2" fillId="10" borderId="1" xfId="7" applyFont="1" applyFill="1" applyBorder="1" applyAlignment="1">
      <alignment horizontal="left" vertical="top" wrapText="1"/>
    </xf>
    <xf numFmtId="0" fontId="0" fillId="0" borderId="1" xfId="7" applyFont="1" applyBorder="1" applyAlignment="1">
      <alignment horizontal="left" vertical="top" wrapText="1"/>
    </xf>
    <xf numFmtId="0" fontId="3" fillId="0" borderId="1" xfId="0" applyFont="1" applyBorder="1" applyAlignment="1">
      <alignment horizontal="center" vertical="center"/>
    </xf>
    <xf numFmtId="0" fontId="2" fillId="5" borderId="1" xfId="0" applyFont="1" applyFill="1" applyBorder="1" applyAlignment="1">
      <alignment vertical="top"/>
    </xf>
    <xf numFmtId="0" fontId="2" fillId="12" borderId="1" xfId="0" applyFont="1" applyFill="1" applyBorder="1" applyAlignment="1">
      <alignment vertical="top"/>
    </xf>
    <xf numFmtId="0" fontId="2" fillId="11" borderId="13" xfId="0" applyFont="1" applyFill="1" applyBorder="1" applyAlignment="1">
      <alignment vertical="top"/>
    </xf>
    <xf numFmtId="0" fontId="2" fillId="11" borderId="14" xfId="0" applyFont="1" applyFill="1" applyBorder="1" applyAlignment="1">
      <alignment vertical="top"/>
    </xf>
    <xf numFmtId="0" fontId="2" fillId="5" borderId="0" xfId="0" applyFont="1" applyFill="1" applyAlignment="1">
      <alignment vertical="top"/>
    </xf>
    <xf numFmtId="0" fontId="2" fillId="9" borderId="17" xfId="0" applyFont="1" applyFill="1" applyBorder="1" applyAlignment="1">
      <alignment vertical="top"/>
    </xf>
    <xf numFmtId="0" fontId="2" fillId="9" borderId="20" xfId="0" applyFont="1" applyFill="1" applyBorder="1" applyAlignment="1">
      <alignment vertical="top"/>
    </xf>
    <xf numFmtId="0" fontId="2" fillId="8" borderId="21" xfId="0" applyFont="1" applyFill="1" applyBorder="1" applyAlignment="1">
      <alignment vertical="top" wrapText="1"/>
    </xf>
    <xf numFmtId="0" fontId="2" fillId="10" borderId="21" xfId="0" applyFont="1" applyFill="1" applyBorder="1" applyAlignment="1">
      <alignment vertical="top" wrapText="1"/>
    </xf>
    <xf numFmtId="0" fontId="3" fillId="11" borderId="22" xfId="0" applyFont="1" applyFill="1" applyBorder="1" applyAlignment="1">
      <alignment vertical="top"/>
    </xf>
    <xf numFmtId="0" fontId="3" fillId="11" borderId="23" xfId="0" applyFont="1" applyFill="1" applyBorder="1" applyAlignment="1">
      <alignment vertical="top"/>
    </xf>
    <xf numFmtId="0" fontId="3" fillId="11" borderId="24" xfId="0" applyFont="1" applyFill="1" applyBorder="1" applyAlignment="1">
      <alignment vertical="top"/>
    </xf>
    <xf numFmtId="0" fontId="3" fillId="11" borderId="25" xfId="0" applyFont="1" applyFill="1" applyBorder="1" applyAlignment="1">
      <alignment vertical="top"/>
    </xf>
    <xf numFmtId="0" fontId="1" fillId="0" borderId="7" xfId="0" applyFont="1" applyBorder="1"/>
    <xf numFmtId="0" fontId="1" fillId="0" borderId="4" xfId="0" applyFont="1" applyBorder="1"/>
    <xf numFmtId="0" fontId="1" fillId="0" borderId="3" xfId="0" applyFont="1" applyBorder="1"/>
    <xf numFmtId="9" fontId="1" fillId="0" borderId="0" xfId="1" applyNumberFormat="1" applyAlignment="1">
      <alignment horizontal="center" vertical="center"/>
    </xf>
    <xf numFmtId="9" fontId="1" fillId="0" borderId="3" xfId="1" applyNumberFormat="1" applyBorder="1" applyAlignment="1">
      <alignment vertical="center"/>
    </xf>
    <xf numFmtId="0" fontId="1" fillId="0" borderId="0" xfId="0" applyFont="1" applyAlignment="1">
      <alignment horizontal="center"/>
    </xf>
    <xf numFmtId="9" fontId="1" fillId="0" borderId="0" xfId="0" applyNumberFormat="1" applyFont="1" applyAlignment="1">
      <alignment horizontal="center"/>
    </xf>
    <xf numFmtId="0" fontId="1" fillId="3" borderId="10" xfId="0" applyFont="1" applyFill="1" applyBorder="1"/>
    <xf numFmtId="0" fontId="1" fillId="0" borderId="1" xfId="1" applyBorder="1" applyAlignment="1">
      <alignment vertical="center"/>
    </xf>
    <xf numFmtId="0" fontId="1" fillId="0" borderId="1" xfId="7" applyBorder="1" applyAlignment="1">
      <alignment horizontal="left" vertical="top" wrapText="1"/>
    </xf>
    <xf numFmtId="0" fontId="2" fillId="0" borderId="1" xfId="6" applyFont="1" applyBorder="1" applyAlignment="1">
      <alignment horizontal="left" vertical="center" wrapText="1"/>
    </xf>
    <xf numFmtId="0" fontId="9" fillId="0" borderId="0" xfId="6" applyFont="1" applyAlignment="1">
      <alignment horizontal="left" vertical="center" wrapText="1"/>
    </xf>
    <xf numFmtId="165" fontId="3" fillId="2" borderId="1" xfId="6" applyNumberFormat="1" applyFont="1" applyFill="1" applyBorder="1" applyAlignment="1">
      <alignment horizontal="left" vertical="center" wrapText="1"/>
    </xf>
    <xf numFmtId="0" fontId="2" fillId="10" borderId="1" xfId="0" applyFont="1" applyFill="1" applyBorder="1" applyAlignment="1">
      <alignment horizontal="center" vertical="top" wrapText="1"/>
    </xf>
    <xf numFmtId="0" fontId="2" fillId="8" borderId="27" xfId="0" applyFont="1" applyFill="1" applyBorder="1" applyAlignment="1">
      <alignment horizontal="center" vertical="top" wrapText="1"/>
    </xf>
    <xf numFmtId="0" fontId="2" fillId="5" borderId="0" xfId="0" applyFont="1" applyFill="1" applyAlignment="1">
      <alignment vertical="top" wrapText="1"/>
    </xf>
    <xf numFmtId="0" fontId="2" fillId="5" borderId="0" xfId="0" applyFont="1" applyFill="1" applyAlignment="1">
      <alignment horizontal="center" vertical="top" wrapText="1"/>
    </xf>
    <xf numFmtId="0" fontId="2" fillId="0" borderId="1" xfId="6" applyFont="1" applyBorder="1" applyAlignment="1">
      <alignment horizontal="center" vertical="center" wrapText="1"/>
    </xf>
    <xf numFmtId="0" fontId="9" fillId="0" borderId="0" xfId="6" applyFont="1" applyAlignment="1">
      <alignment horizontal="center" vertical="center" wrapText="1"/>
    </xf>
    <xf numFmtId="0" fontId="2" fillId="0" borderId="1" xfId="6" applyFont="1" applyBorder="1" applyAlignment="1">
      <alignment vertical="center" wrapText="1"/>
    </xf>
    <xf numFmtId="14" fontId="2" fillId="0" borderId="1" xfId="6" applyNumberFormat="1" applyFont="1" applyBorder="1" applyAlignment="1">
      <alignment horizontal="left" vertical="center" wrapText="1"/>
    </xf>
    <xf numFmtId="165" fontId="2" fillId="0" borderId="1" xfId="6" applyNumberFormat="1" applyFont="1" applyBorder="1" applyAlignment="1">
      <alignment horizontal="left" vertical="center" wrapText="1"/>
    </xf>
    <xf numFmtId="0" fontId="9" fillId="0" borderId="0" xfId="6" applyFont="1" applyAlignment="1">
      <alignment vertical="center" wrapText="1"/>
    </xf>
    <xf numFmtId="165" fontId="9" fillId="0" borderId="0" xfId="6" applyNumberFormat="1" applyFont="1" applyAlignment="1">
      <alignment horizontal="left" vertical="center" wrapText="1"/>
    </xf>
    <xf numFmtId="1" fontId="9" fillId="0" borderId="0" xfId="6" applyNumberFormat="1" applyFont="1" applyAlignment="1">
      <alignment horizontal="left" vertical="center" wrapText="1"/>
    </xf>
    <xf numFmtId="0" fontId="3" fillId="2" borderId="1" xfId="6" applyFont="1" applyFill="1" applyBorder="1" applyAlignment="1">
      <alignment horizontal="center" wrapText="1"/>
    </xf>
    <xf numFmtId="0" fontId="2" fillId="0" borderId="1" xfId="6" applyFont="1" applyBorder="1" applyAlignment="1">
      <alignment horizontal="center" wrapText="1"/>
    </xf>
    <xf numFmtId="0" fontId="2" fillId="0" borderId="3" xfId="6" applyFont="1" applyBorder="1" applyAlignment="1">
      <alignment horizontal="center" wrapText="1"/>
    </xf>
    <xf numFmtId="0" fontId="9" fillId="0" borderId="3" xfId="6" applyFont="1" applyBorder="1" applyAlignment="1">
      <alignment horizontal="center" wrapText="1"/>
    </xf>
    <xf numFmtId="0" fontId="1" fillId="0" borderId="1" xfId="6" applyFont="1" applyBorder="1" applyAlignment="1">
      <alignment horizontal="center" vertical="top" wrapText="1"/>
    </xf>
    <xf numFmtId="0" fontId="2" fillId="0" borderId="2" xfId="6" applyFont="1" applyBorder="1" applyAlignment="1">
      <alignment vertical="center" wrapText="1"/>
    </xf>
    <xf numFmtId="0" fontId="2" fillId="0" borderId="0" xfId="6" applyFont="1" applyAlignment="1">
      <alignment horizontal="left" vertical="center" wrapText="1"/>
    </xf>
    <xf numFmtId="0" fontId="2" fillId="0" borderId="0" xfId="6" applyFont="1" applyAlignment="1">
      <alignment vertical="center" wrapText="1"/>
    </xf>
    <xf numFmtId="0" fontId="2" fillId="0" borderId="0" xfId="6" applyFont="1" applyAlignment="1">
      <alignment horizontal="center" vertical="center" wrapText="1"/>
    </xf>
    <xf numFmtId="165" fontId="2" fillId="0" borderId="0" xfId="6" applyNumberFormat="1" applyFont="1" applyAlignment="1">
      <alignment horizontal="left" vertical="center" wrapText="1"/>
    </xf>
    <xf numFmtId="1" fontId="2" fillId="0" borderId="0" xfId="6" applyNumberFormat="1" applyFont="1" applyAlignment="1">
      <alignment horizontal="left" vertical="center" wrapText="1"/>
    </xf>
    <xf numFmtId="49" fontId="2" fillId="0" borderId="0" xfId="6" applyNumberFormat="1" applyFont="1" applyAlignment="1">
      <alignment horizontal="center" vertical="top" wrapText="1"/>
    </xf>
    <xf numFmtId="0" fontId="0" fillId="0" borderId="2" xfId="8" applyFont="1" applyBorder="1" applyAlignment="1">
      <alignment horizontal="center" vertical="center" wrapText="1"/>
    </xf>
    <xf numFmtId="0" fontId="4" fillId="13" borderId="1" xfId="8" applyFont="1" applyFill="1" applyBorder="1" applyAlignment="1">
      <alignment horizontal="center" vertical="center" wrapText="1"/>
    </xf>
    <xf numFmtId="49" fontId="4" fillId="13" borderId="1" xfId="8" applyNumberFormat="1"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3" fillId="7" borderId="1" xfId="8" applyFont="1" applyFill="1" applyBorder="1" applyAlignment="1">
      <alignment horizontal="center" vertical="center" wrapText="1"/>
    </xf>
    <xf numFmtId="0" fontId="0" fillId="0" borderId="1" xfId="0" applyBorder="1" applyAlignment="1">
      <alignment vertical="center"/>
    </xf>
    <xf numFmtId="0" fontId="3" fillId="7" borderId="1" xfId="8" applyFont="1" applyFill="1" applyBorder="1" applyAlignment="1">
      <alignment vertical="center" wrapText="1"/>
    </xf>
    <xf numFmtId="0" fontId="0" fillId="0" borderId="1" xfId="0" applyBorder="1" applyAlignment="1">
      <alignment vertical="center" wrapText="1"/>
    </xf>
    <xf numFmtId="0" fontId="21" fillId="0" borderId="0" xfId="0" applyFont="1"/>
    <xf numFmtId="0" fontId="4" fillId="14" borderId="0" xfId="1" applyFont="1" applyFill="1" applyAlignment="1">
      <alignment vertical="center"/>
    </xf>
    <xf numFmtId="0" fontId="0" fillId="14" borderId="0" xfId="0" applyFill="1" applyAlignment="1">
      <alignment horizontal="center" vertical="center"/>
    </xf>
    <xf numFmtId="0" fontId="0" fillId="14" borderId="0" xfId="0" applyFill="1"/>
    <xf numFmtId="0" fontId="1" fillId="14" borderId="0" xfId="1" applyFill="1" applyAlignment="1">
      <alignment vertical="center"/>
    </xf>
    <xf numFmtId="0" fontId="1" fillId="14" borderId="0" xfId="1" applyFill="1" applyAlignment="1">
      <alignment horizontal="center" vertical="center"/>
    </xf>
    <xf numFmtId="0" fontId="0" fillId="14" borderId="0" xfId="0" applyFill="1" applyAlignment="1">
      <alignment vertical="center"/>
    </xf>
    <xf numFmtId="0" fontId="4" fillId="14" borderId="6" xfId="0" applyFont="1" applyFill="1" applyBorder="1" applyAlignment="1">
      <alignment horizontal="center" vertical="center"/>
    </xf>
    <xf numFmtId="0" fontId="1" fillId="14" borderId="6" xfId="0" applyFont="1" applyFill="1" applyBorder="1"/>
    <xf numFmtId="0" fontId="1" fillId="14" borderId="0" xfId="0" applyFont="1" applyFill="1"/>
    <xf numFmtId="14" fontId="2" fillId="10" borderId="1" xfId="7" applyNumberFormat="1" applyFont="1" applyFill="1" applyBorder="1" applyAlignment="1">
      <alignment horizontal="center" vertical="top" wrapText="1"/>
    </xf>
    <xf numFmtId="0" fontId="2" fillId="10" borderId="1" xfId="0" applyFont="1" applyFill="1" applyBorder="1" applyAlignment="1">
      <alignment vertical="top"/>
    </xf>
    <xf numFmtId="0" fontId="3" fillId="15" borderId="28" xfId="0" applyFont="1" applyFill="1" applyBorder="1" applyAlignment="1">
      <alignment horizontal="left" vertical="top"/>
    </xf>
    <xf numFmtId="0" fontId="3" fillId="15" borderId="19" xfId="0" applyFont="1" applyFill="1" applyBorder="1" applyAlignment="1">
      <alignment horizontal="left" vertical="top"/>
    </xf>
    <xf numFmtId="0" fontId="4" fillId="15" borderId="19" xfId="0" applyFont="1" applyFill="1" applyBorder="1" applyAlignment="1">
      <alignment horizontal="left" vertical="top"/>
    </xf>
    <xf numFmtId="0" fontId="0" fillId="11" borderId="14" xfId="0" applyFill="1" applyBorder="1" applyAlignment="1">
      <alignment vertical="top"/>
    </xf>
    <xf numFmtId="0" fontId="2" fillId="11" borderId="14" xfId="7" applyFont="1" applyFill="1" applyBorder="1" applyAlignment="1">
      <alignment horizontal="left" vertical="top"/>
    </xf>
    <xf numFmtId="14" fontId="2" fillId="11" borderId="14" xfId="7" applyNumberFormat="1" applyFont="1" applyFill="1" applyBorder="1" applyAlignment="1">
      <alignment horizontal="center" vertical="top"/>
    </xf>
    <xf numFmtId="9" fontId="2" fillId="11" borderId="14" xfId="0" applyNumberFormat="1" applyFont="1" applyFill="1" applyBorder="1" applyAlignment="1">
      <alignment vertical="top"/>
    </xf>
    <xf numFmtId="0" fontId="0" fillId="9" borderId="17" xfId="0" applyFill="1" applyBorder="1" applyAlignment="1">
      <alignment vertical="top"/>
    </xf>
    <xf numFmtId="14" fontId="2" fillId="9" borderId="17" xfId="7" applyNumberFormat="1" applyFont="1" applyFill="1" applyBorder="1" applyAlignment="1">
      <alignment horizontal="center" vertical="top"/>
    </xf>
    <xf numFmtId="0" fontId="0" fillId="9" borderId="1" xfId="0" applyFill="1" applyBorder="1" applyAlignment="1">
      <alignment vertical="top"/>
    </xf>
    <xf numFmtId="14" fontId="2" fillId="9" borderId="1" xfId="7" applyNumberFormat="1" applyFont="1" applyFill="1" applyBorder="1" applyAlignment="1">
      <alignment horizontal="center" vertical="top"/>
    </xf>
    <xf numFmtId="0" fontId="0" fillId="9" borderId="20" xfId="0" applyFill="1" applyBorder="1" applyAlignment="1">
      <alignment vertical="top"/>
    </xf>
    <xf numFmtId="0" fontId="2" fillId="8" borderId="26" xfId="0" applyFont="1" applyFill="1" applyBorder="1" applyAlignment="1">
      <alignment horizontal="center" vertical="top"/>
    </xf>
    <xf numFmtId="0" fontId="2" fillId="8" borderId="1" xfId="0" applyFont="1" applyFill="1" applyBorder="1" applyAlignment="1">
      <alignment vertical="top"/>
    </xf>
    <xf numFmtId="9" fontId="1" fillId="10" borderId="1" xfId="7" applyNumberFormat="1" applyFill="1" applyBorder="1" applyAlignment="1" applyProtection="1">
      <alignment horizontal="center" vertical="top"/>
      <protection locked="0"/>
    </xf>
    <xf numFmtId="9" fontId="2" fillId="10" borderId="1" xfId="7" applyNumberFormat="1" applyFont="1" applyFill="1" applyBorder="1" applyAlignment="1" applyProtection="1">
      <alignment horizontal="center" vertical="top"/>
      <protection locked="0"/>
    </xf>
    <xf numFmtId="0" fontId="2" fillId="10" borderId="1" xfId="7" applyFont="1" applyFill="1" applyBorder="1" applyAlignment="1">
      <alignment horizontal="left" vertical="top"/>
    </xf>
    <xf numFmtId="14" fontId="2" fillId="10" borderId="1" xfId="7" applyNumberFormat="1" applyFont="1" applyFill="1" applyBorder="1" applyAlignment="1">
      <alignment horizontal="center" vertical="top"/>
    </xf>
    <xf numFmtId="0" fontId="2" fillId="10" borderId="1" xfId="7" applyFont="1" applyFill="1" applyBorder="1" applyAlignment="1">
      <alignment horizontal="center"/>
    </xf>
    <xf numFmtId="9" fontId="2" fillId="10" borderId="1" xfId="9" applyFont="1" applyFill="1" applyBorder="1" applyAlignment="1">
      <alignment horizontal="center"/>
    </xf>
    <xf numFmtId="0" fontId="2" fillId="10" borderId="1" xfId="7" applyFont="1" applyFill="1" applyBorder="1"/>
    <xf numFmtId="0" fontId="3" fillId="15" borderId="34" xfId="0" applyFont="1" applyFill="1" applyBorder="1" applyAlignment="1">
      <alignment horizontal="center" vertical="top"/>
    </xf>
    <xf numFmtId="0" fontId="2" fillId="15" borderId="35" xfId="0" applyFont="1" applyFill="1" applyBorder="1" applyAlignment="1">
      <alignment vertical="top"/>
    </xf>
    <xf numFmtId="0" fontId="2" fillId="15" borderId="36" xfId="0" applyFont="1" applyFill="1" applyBorder="1" applyAlignment="1">
      <alignment vertical="top"/>
    </xf>
    <xf numFmtId="0" fontId="2" fillId="15" borderId="33" xfId="0" applyFont="1" applyFill="1" applyBorder="1" applyAlignment="1">
      <alignment vertical="top" wrapText="1"/>
    </xf>
    <xf numFmtId="9" fontId="1" fillId="15" borderId="30" xfId="7" applyNumberFormat="1" applyFill="1" applyBorder="1" applyAlignment="1" applyProtection="1">
      <alignment horizontal="center" vertical="top"/>
      <protection locked="0"/>
    </xf>
    <xf numFmtId="9" fontId="2" fillId="15" borderId="30" xfId="7" applyNumberFormat="1" applyFont="1" applyFill="1" applyBorder="1" applyAlignment="1" applyProtection="1">
      <alignment horizontal="center" vertical="top"/>
      <protection locked="0"/>
    </xf>
    <xf numFmtId="0" fontId="2" fillId="15" borderId="30" xfId="7" applyFont="1" applyFill="1" applyBorder="1" applyAlignment="1">
      <alignment horizontal="left" vertical="top"/>
    </xf>
    <xf numFmtId="14" fontId="2" fillId="15" borderId="30" xfId="7" applyNumberFormat="1" applyFont="1" applyFill="1" applyBorder="1" applyAlignment="1">
      <alignment horizontal="center" vertical="top"/>
    </xf>
    <xf numFmtId="0" fontId="2" fillId="15" borderId="30" xfId="0" applyFont="1" applyFill="1" applyBorder="1" applyAlignment="1">
      <alignment vertical="top"/>
    </xf>
    <xf numFmtId="0" fontId="2" fillId="15" borderId="30" xfId="7" applyFont="1" applyFill="1" applyBorder="1" applyAlignment="1">
      <alignment horizontal="center"/>
    </xf>
    <xf numFmtId="9" fontId="2" fillId="15" borderId="30" xfId="9" applyFont="1" applyFill="1" applyBorder="1" applyAlignment="1">
      <alignment horizontal="center"/>
    </xf>
    <xf numFmtId="0" fontId="2" fillId="15" borderId="30" xfId="7" applyFont="1" applyFill="1" applyBorder="1"/>
    <xf numFmtId="0" fontId="2" fillId="10" borderId="1" xfId="7" applyFont="1" applyFill="1" applyBorder="1" applyAlignment="1">
      <alignment wrapText="1"/>
    </xf>
    <xf numFmtId="9" fontId="1" fillId="10" borderId="30" xfId="7" applyNumberFormat="1" applyFill="1" applyBorder="1" applyAlignment="1" applyProtection="1">
      <alignment horizontal="center" vertical="top"/>
      <protection locked="0"/>
    </xf>
    <xf numFmtId="9" fontId="2" fillId="10" borderId="30" xfId="7" applyNumberFormat="1" applyFont="1" applyFill="1" applyBorder="1" applyAlignment="1" applyProtection="1">
      <alignment horizontal="center" vertical="top"/>
      <protection locked="0"/>
    </xf>
    <xf numFmtId="0" fontId="2" fillId="10" borderId="30" xfId="7" applyFont="1" applyFill="1" applyBorder="1" applyAlignment="1">
      <alignment horizontal="left" vertical="top"/>
    </xf>
    <xf numFmtId="14" fontId="2" fillId="10" borderId="30" xfId="7" applyNumberFormat="1" applyFont="1" applyFill="1" applyBorder="1" applyAlignment="1">
      <alignment horizontal="center" vertical="top"/>
    </xf>
    <xf numFmtId="0" fontId="2" fillId="10" borderId="30" xfId="0" applyFont="1" applyFill="1" applyBorder="1" applyAlignment="1">
      <alignment vertical="top"/>
    </xf>
    <xf numFmtId="0" fontId="2" fillId="10" borderId="30" xfId="7" applyFont="1" applyFill="1" applyBorder="1" applyAlignment="1">
      <alignment horizontal="center"/>
    </xf>
    <xf numFmtId="9" fontId="2" fillId="10" borderId="30" xfId="9" applyFont="1" applyFill="1" applyBorder="1" applyAlignment="1">
      <alignment horizontal="center"/>
    </xf>
    <xf numFmtId="0" fontId="2" fillId="10" borderId="30" xfId="7" applyFont="1" applyFill="1" applyBorder="1"/>
    <xf numFmtId="0" fontId="3" fillId="11" borderId="38" xfId="0" applyFont="1" applyFill="1" applyBorder="1" applyAlignment="1">
      <alignment vertical="top"/>
    </xf>
    <xf numFmtId="0" fontId="2" fillId="11" borderId="32" xfId="0" applyFont="1" applyFill="1" applyBorder="1" applyAlignment="1">
      <alignment vertical="top"/>
    </xf>
    <xf numFmtId="0" fontId="2" fillId="11" borderId="33" xfId="0" applyFont="1" applyFill="1" applyBorder="1" applyAlignment="1">
      <alignment vertical="top"/>
    </xf>
    <xf numFmtId="0" fontId="2" fillId="8" borderId="1" xfId="0" applyFont="1" applyFill="1" applyBorder="1" applyAlignment="1">
      <alignment horizontal="center" vertical="top"/>
    </xf>
    <xf numFmtId="49" fontId="2" fillId="8" borderId="1" xfId="0" applyNumberFormat="1" applyFont="1" applyFill="1" applyBorder="1" applyAlignment="1">
      <alignment vertical="top" wrapText="1"/>
    </xf>
    <xf numFmtId="0" fontId="2" fillId="8" borderId="40" xfId="0" applyFont="1" applyFill="1" applyBorder="1" applyAlignment="1">
      <alignment horizontal="center" vertical="top"/>
    </xf>
    <xf numFmtId="0" fontId="2" fillId="8" borderId="0" xfId="0" applyFont="1" applyFill="1" applyAlignment="1">
      <alignment vertical="top"/>
    </xf>
    <xf numFmtId="0" fontId="2" fillId="10" borderId="3" xfId="0" applyFont="1" applyFill="1" applyBorder="1" applyAlignment="1">
      <alignment vertical="top"/>
    </xf>
    <xf numFmtId="0" fontId="3" fillId="11" borderId="14" xfId="0" applyFont="1" applyFill="1" applyBorder="1" applyAlignment="1">
      <alignment vertical="top"/>
    </xf>
    <xf numFmtId="0" fontId="2" fillId="0" borderId="0" xfId="6" applyFont="1" applyAlignment="1">
      <alignment vertical="top" wrapText="1"/>
    </xf>
    <xf numFmtId="0" fontId="0" fillId="0" borderId="0" xfId="0" applyAlignment="1">
      <alignment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8" xfId="1" applyFont="1" applyFill="1" applyBorder="1" applyAlignment="1">
      <alignment horizontal="center" vertical="center"/>
    </xf>
    <xf numFmtId="0" fontId="4" fillId="4" borderId="9" xfId="1" applyFont="1" applyFill="1" applyBorder="1" applyAlignment="1">
      <alignment horizontal="center" vertical="center"/>
    </xf>
    <xf numFmtId="0" fontId="4" fillId="4" borderId="10" xfId="1"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3" fillId="4" borderId="8" xfId="0" applyFont="1" applyFill="1" applyBorder="1" applyAlignment="1">
      <alignment horizontal="left" vertical="top"/>
    </xf>
    <xf numFmtId="0" fontId="3" fillId="4" borderId="10" xfId="0" applyFont="1" applyFill="1" applyBorder="1" applyAlignment="1">
      <alignment horizontal="left" vertical="top"/>
    </xf>
    <xf numFmtId="0" fontId="2" fillId="11" borderId="11" xfId="0" applyFont="1" applyFill="1" applyBorder="1" applyAlignment="1">
      <alignment horizontal="left" vertical="top"/>
    </xf>
    <xf numFmtId="0" fontId="2" fillId="11" borderId="12" xfId="0" applyFont="1" applyFill="1" applyBorder="1" applyAlignment="1">
      <alignment horizontal="left" vertical="top"/>
    </xf>
    <xf numFmtId="0" fontId="3" fillId="9" borderId="15" xfId="0" applyFont="1" applyFill="1" applyBorder="1" applyAlignment="1">
      <alignment horizontal="left" vertical="top"/>
    </xf>
    <xf numFmtId="0" fontId="3" fillId="9" borderId="16" xfId="0" applyFont="1" applyFill="1" applyBorder="1" applyAlignment="1">
      <alignment horizontal="left" vertical="top"/>
    </xf>
    <xf numFmtId="0" fontId="5" fillId="6" borderId="17" xfId="7" applyFont="1" applyFill="1" applyBorder="1" applyAlignment="1">
      <alignment horizontal="center" vertical="center" wrapText="1"/>
    </xf>
    <xf numFmtId="0" fontId="5" fillId="6" borderId="21" xfId="7" applyFont="1" applyFill="1" applyBorder="1" applyAlignment="1">
      <alignment horizontal="center" vertical="center" wrapText="1"/>
    </xf>
    <xf numFmtId="166" fontId="5" fillId="6" borderId="17" xfId="7" applyNumberFormat="1" applyFont="1" applyFill="1" applyBorder="1" applyAlignment="1">
      <alignment horizontal="center" vertical="center" wrapText="1"/>
    </xf>
    <xf numFmtId="166" fontId="5" fillId="6" borderId="21" xfId="7" applyNumberFormat="1"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6" borderId="33" xfId="0" applyFont="1" applyFill="1" applyBorder="1" applyAlignment="1">
      <alignment horizontal="center" vertical="center" wrapText="1"/>
    </xf>
    <xf numFmtId="166" fontId="5" fillId="6" borderId="18" xfId="7" applyNumberFormat="1" applyFont="1" applyFill="1" applyBorder="1" applyAlignment="1">
      <alignment horizontal="center" vertical="center"/>
    </xf>
    <xf numFmtId="166" fontId="5" fillId="6" borderId="33" xfId="7" applyNumberFormat="1" applyFont="1" applyFill="1" applyBorder="1" applyAlignment="1">
      <alignment horizontal="center" vertical="center"/>
    </xf>
    <xf numFmtId="0" fontId="2" fillId="8" borderId="26" xfId="0" applyFont="1" applyFill="1" applyBorder="1" applyAlignment="1">
      <alignment horizontal="center" vertical="top" wrapText="1"/>
    </xf>
    <xf numFmtId="0" fontId="2" fillId="8" borderId="37" xfId="0" applyFont="1" applyFill="1" applyBorder="1" applyAlignment="1">
      <alignment horizontal="center" vertical="top" wrapText="1"/>
    </xf>
    <xf numFmtId="0" fontId="2" fillId="11" borderId="34" xfId="0" applyFont="1" applyFill="1" applyBorder="1" applyAlignment="1">
      <alignment horizontal="left" vertical="top"/>
    </xf>
    <xf numFmtId="0" fontId="2" fillId="11" borderId="39" xfId="0" applyFont="1" applyFill="1" applyBorder="1" applyAlignment="1">
      <alignment horizontal="left" vertical="top"/>
    </xf>
    <xf numFmtId="0" fontId="5" fillId="6" borderId="29" xfId="0" applyFont="1" applyFill="1" applyBorder="1" applyAlignment="1">
      <alignment horizontal="center" vertical="center"/>
    </xf>
    <xf numFmtId="0" fontId="5" fillId="6" borderId="32" xfId="0" applyFont="1" applyFill="1" applyBorder="1" applyAlignment="1">
      <alignment horizontal="center" vertical="center"/>
    </xf>
    <xf numFmtId="0" fontId="5" fillId="6" borderId="18" xfId="0" applyFont="1" applyFill="1" applyBorder="1" applyAlignment="1">
      <alignment horizontal="center" vertical="center"/>
    </xf>
    <xf numFmtId="0" fontId="5" fillId="6" borderId="33" xfId="0" applyFont="1" applyFill="1" applyBorder="1" applyAlignment="1">
      <alignment horizontal="center" vertical="center"/>
    </xf>
    <xf numFmtId="0" fontId="22" fillId="6" borderId="18" xfId="0" applyFont="1" applyFill="1" applyBorder="1" applyAlignment="1">
      <alignment horizontal="center" vertical="center"/>
    </xf>
    <xf numFmtId="0" fontId="22" fillId="6" borderId="33" xfId="0" applyFont="1" applyFill="1" applyBorder="1" applyAlignment="1">
      <alignment horizontal="center" vertical="center"/>
    </xf>
    <xf numFmtId="0" fontId="5" fillId="6" borderId="18" xfId="7" applyFont="1" applyFill="1" applyBorder="1" applyAlignment="1">
      <alignment horizontal="center" vertical="center"/>
    </xf>
    <xf numFmtId="0" fontId="5" fillId="6" borderId="33" xfId="7" applyFont="1" applyFill="1" applyBorder="1" applyAlignment="1">
      <alignment horizontal="center" vertical="center"/>
    </xf>
    <xf numFmtId="0" fontId="2" fillId="8" borderId="26" xfId="0" applyFont="1" applyFill="1" applyBorder="1" applyAlignment="1">
      <alignment horizontal="center" vertical="top"/>
    </xf>
    <xf numFmtId="0" fontId="2" fillId="8" borderId="31" xfId="0" applyFont="1" applyFill="1" applyBorder="1" applyAlignment="1">
      <alignment horizontal="center" vertical="top"/>
    </xf>
    <xf numFmtId="0" fontId="2" fillId="8" borderId="32" xfId="0" applyFont="1" applyFill="1" applyBorder="1" applyAlignment="1">
      <alignment horizontal="center" vertical="top"/>
    </xf>
    <xf numFmtId="0" fontId="5" fillId="6" borderId="29" xfId="0" applyFont="1" applyFill="1" applyBorder="1" applyAlignment="1">
      <alignment horizontal="center" vertical="center" wrapText="1"/>
    </xf>
    <xf numFmtId="0" fontId="5" fillId="6" borderId="32" xfId="0" applyFont="1" applyFill="1" applyBorder="1" applyAlignment="1">
      <alignment horizontal="center" vertical="center" wrapText="1"/>
    </xf>
    <xf numFmtId="9" fontId="1" fillId="10" borderId="1" xfId="7" applyNumberFormat="1" applyFill="1" applyBorder="1" applyAlignment="1" applyProtection="1">
      <alignment horizontal="center" vertical="top" wrapText="1"/>
      <protection locked="0"/>
    </xf>
  </cellXfs>
  <cellStyles count="10">
    <cellStyle name="Normal" xfId="0" builtinId="0"/>
    <cellStyle name="Normal_StBMS Acceptance Tests Execution_R2_15.11.2005" xfId="1" xr:uid="{00000000-0005-0000-0000-000001000000}"/>
    <cellStyle name="Percent" xfId="9" builtinId="5"/>
    <cellStyle name="Style 1" xfId="2" xr:uid="{00000000-0005-0000-0000-000002000000}"/>
    <cellStyle name="一般_FET RAID Training Issue List v1.3" xfId="3" xr:uid="{00000000-0005-0000-0000-000003000000}"/>
    <cellStyle name="一般_RA_Issue &amp; AR List v1.0" xfId="4" xr:uid="{00000000-0005-0000-0000-000004000000}"/>
    <cellStyle name="一般_RA_Requirement List_p1B_v2.3_092506" xfId="5" xr:uid="{00000000-0005-0000-0000-000005000000}"/>
    <cellStyle name="一般_RA_System_Test_Cycle_Control_Sheet_p1A.1_v0.7_050806" xfId="6" xr:uid="{00000000-0005-0000-0000-000006000000}"/>
    <cellStyle name="一般_RA_System_Test_Cycle_Control_Sheet_p1A.1_v0.7_050806 2" xfId="8" xr:uid="{00000000-0005-0000-0000-000007000000}"/>
    <cellStyle name="一般_RA_System_Test_Cycle_Control_Sheet_p1A.1_v0.7_050806_RA_System Test Cycle Control Sheet_p1A.2_v0.01_101906" xfId="7" xr:uid="{00000000-0005-0000-0000-000008000000}"/>
  </cellStyles>
  <dxfs count="9">
    <dxf>
      <font>
        <b/>
        <i val="0"/>
        <strike/>
        <u val="none"/>
        <color auto="1"/>
      </font>
      <fill>
        <patternFill patternType="none">
          <fgColor indexed="64"/>
          <bgColor indexed="65"/>
        </patternFill>
      </fill>
      <border>
        <left style="thin">
          <color indexed="64"/>
        </left>
        <right style="thin">
          <color indexed="64"/>
        </right>
        <top style="thin">
          <color indexed="64"/>
        </top>
        <bottom style="thin">
          <color indexed="64"/>
        </bottom>
      </border>
    </dxf>
    <dxf>
      <font>
        <b/>
        <i val="0"/>
        <strike val="0"/>
      </font>
      <fill>
        <patternFill>
          <fgColor rgb="FFFF0000"/>
        </patternFill>
      </fill>
    </dxf>
    <dxf>
      <font>
        <b/>
        <i val="0"/>
        <strike val="0"/>
        <color auto="1"/>
      </font>
      <fill>
        <gradientFill type="path" left="0.5" right="0.5" top="0.5" bottom="0.5">
          <stop position="0">
            <color rgb="FFC00000"/>
          </stop>
          <stop position="1">
            <color rgb="FFFF0000"/>
          </stop>
        </gradientFill>
      </fill>
      <border>
        <left style="thin">
          <color indexed="64"/>
        </left>
        <right style="thin">
          <color indexed="64"/>
        </right>
        <top style="thin">
          <color indexed="64"/>
        </top>
        <bottom style="thin">
          <color indexed="64"/>
        </bottom>
      </border>
    </dxf>
    <dxf>
      <font>
        <b/>
        <i val="0"/>
      </font>
      <fill>
        <patternFill patternType="none">
          <fgColor indexed="64"/>
          <bgColor indexed="65"/>
        </patternFill>
      </fill>
      <border>
        <left style="thin">
          <color indexed="64"/>
        </left>
        <right style="thin">
          <color indexed="64"/>
        </right>
        <top style="thin">
          <color indexed="64"/>
        </top>
        <bottom style="thin">
          <color indexed="64"/>
        </bottom>
      </border>
    </dxf>
    <dxf>
      <font>
        <b/>
        <i val="0"/>
      </font>
      <fill>
        <gradientFill degree="90">
          <stop position="0">
            <color rgb="FFC00000"/>
          </stop>
          <stop position="1">
            <color rgb="FFFF0000"/>
          </stop>
        </gradientFill>
      </fill>
      <border>
        <left style="thin">
          <color indexed="64"/>
        </left>
        <right style="thin">
          <color indexed="64"/>
        </right>
        <top style="thin">
          <color indexed="64"/>
        </top>
        <bottom style="thin">
          <color indexed="64"/>
        </bottom>
      </border>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OVERALL DEFECT STATUS</a:t>
            </a:r>
          </a:p>
        </c:rich>
      </c:tx>
      <c:layout>
        <c:manualLayout>
          <c:xMode val="edge"/>
          <c:yMode val="edge"/>
          <c:x val="0.20634933895862487"/>
          <c:y val="3.7671516226034658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9841321101296661"/>
          <c:y val="0.39383627500982415"/>
          <c:w val="0.60582167095959139"/>
          <c:h val="0.31164435674690433"/>
        </c:manualLayout>
      </c:layout>
      <c:pie3D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5B1F-48B1-B287-3F3925F7E9CE}"/>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5B1F-48B1-B287-3F3925F7E9CE}"/>
              </c:ext>
            </c:extLst>
          </c:dPt>
          <c:dPt>
            <c:idx val="2"/>
            <c:bubble3D val="0"/>
            <c:spPr>
              <a:solidFill>
                <a:srgbClr val="99CC00"/>
              </a:solidFill>
              <a:ln w="12700">
                <a:solidFill>
                  <a:srgbClr val="000000"/>
                </a:solidFill>
                <a:prstDash val="solid"/>
              </a:ln>
            </c:spPr>
            <c:extLst>
              <c:ext xmlns:c16="http://schemas.microsoft.com/office/drawing/2014/chart" uri="{C3380CC4-5D6E-409C-BE32-E72D297353CC}">
                <c16:uniqueId val="{00000002-5B1F-48B1-B287-3F3925F7E9CE}"/>
              </c:ext>
            </c:extLst>
          </c:dPt>
          <c:dPt>
            <c:idx val="3"/>
            <c:bubble3D val="0"/>
            <c:spPr>
              <a:solidFill>
                <a:srgbClr val="FF0000"/>
              </a:solidFill>
              <a:ln w="12700">
                <a:solidFill>
                  <a:srgbClr val="000000"/>
                </a:solidFill>
                <a:prstDash val="solid"/>
              </a:ln>
            </c:spPr>
            <c:extLst>
              <c:ext xmlns:c16="http://schemas.microsoft.com/office/drawing/2014/chart" uri="{C3380CC4-5D6E-409C-BE32-E72D297353CC}">
                <c16:uniqueId val="{00000003-5B1F-48B1-B287-3F3925F7E9CE}"/>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5B1F-48B1-B287-3F3925F7E9CE}"/>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5B1F-48B1-B287-3F3925F7E9CE}"/>
              </c:ext>
            </c:extLst>
          </c:dPt>
          <c:dPt>
            <c:idx val="6"/>
            <c:bubble3D val="0"/>
            <c:spPr>
              <a:solidFill>
                <a:srgbClr val="0066CC"/>
              </a:solidFill>
              <a:ln w="12700">
                <a:solidFill>
                  <a:srgbClr val="000000"/>
                </a:solidFill>
                <a:prstDash val="solid"/>
              </a:ln>
            </c:spPr>
            <c:extLst>
              <c:ext xmlns:c16="http://schemas.microsoft.com/office/drawing/2014/chart" uri="{C3380CC4-5D6E-409C-BE32-E72D297353CC}">
                <c16:uniqueId val="{00000006-5B1F-48B1-B287-3F3925F7E9CE}"/>
              </c:ext>
            </c:extLst>
          </c:dPt>
          <c:dPt>
            <c:idx val="7"/>
            <c:bubble3D val="0"/>
            <c:extLst>
              <c:ext xmlns:c16="http://schemas.microsoft.com/office/drawing/2014/chart" uri="{C3380CC4-5D6E-409C-BE32-E72D297353CC}">
                <c16:uniqueId val="{00000007-5B1F-48B1-B287-3F3925F7E9CE}"/>
              </c:ext>
            </c:extLst>
          </c:dPt>
          <c:dLbls>
            <c:spPr>
              <a:noFill/>
              <a:ln w="25400">
                <a:noFill/>
              </a:ln>
            </c:spPr>
            <c:txPr>
              <a:bodyPr wrap="square" lIns="38100" tIns="19050" rIns="38100" bIns="19050" anchor="ctr">
                <a:spAutoFit/>
              </a:bodyPr>
              <a:lstStyle/>
              <a:p>
                <a:pPr>
                  <a:defRPr sz="95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'Execution Report'!$I$5:$I$12</c:f>
              <c:strCache>
                <c:ptCount val="8"/>
                <c:pt idx="0">
                  <c:v>NEW</c:v>
                </c:pt>
                <c:pt idx="1">
                  <c:v>UNDER ANALYSIS</c:v>
                </c:pt>
                <c:pt idx="2">
                  <c:v>WORKING</c:v>
                </c:pt>
                <c:pt idx="3">
                  <c:v>REOPEN</c:v>
                </c:pt>
                <c:pt idx="4">
                  <c:v>POSTPONED</c:v>
                </c:pt>
                <c:pt idx="5">
                  <c:v>REJECTED</c:v>
                </c:pt>
                <c:pt idx="6">
                  <c:v>FIXED</c:v>
                </c:pt>
                <c:pt idx="7">
                  <c:v>CLOSED</c:v>
                </c:pt>
              </c:strCache>
            </c:strRef>
          </c:cat>
          <c:val>
            <c:numRef>
              <c:f>'Execution Report'!$K$5:$K$12</c:f>
              <c:numCache>
                <c:formatCode>0%</c:formatCode>
                <c:ptCount val="8"/>
                <c:pt idx="0">
                  <c:v>1</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5B1F-48B1-B287-3F3925F7E9CE}"/>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2.1164741675195109E-2"/>
          <c:y val="0.86443447880273239"/>
          <c:w val="0.9629950500219302"/>
          <c:h val="0.10169821487545849"/>
        </c:manualLayout>
      </c:layout>
      <c:overlay val="0"/>
      <c:spPr>
        <a:solidFill>
          <a:srgbClr val="FFFFFF"/>
        </a:solidFill>
        <a:ln w="3175">
          <a:solidFill>
            <a:srgbClr val="000000"/>
          </a:solidFill>
          <a:prstDash val="solid"/>
        </a:ln>
      </c:spPr>
      <c:txPr>
        <a:bodyPr/>
        <a:lstStyle/>
        <a:p>
          <a:pPr>
            <a:defRPr sz="57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00"/>
                </a:solidFill>
                <a:latin typeface="Arial"/>
                <a:ea typeface="Arial"/>
                <a:cs typeface="Arial"/>
              </a:defRPr>
            </a:pPr>
            <a:r>
              <a:rPr lang="en-US"/>
              <a:t>OVERALL OPEN STATUS</a:t>
            </a:r>
          </a:p>
        </c:rich>
      </c:tx>
      <c:layout>
        <c:manualLayout>
          <c:xMode val="edge"/>
          <c:yMode val="edge"/>
          <c:x val="0"/>
          <c:y val="0"/>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tx>
            <c:v>DIAGRAM</c:v>
          </c:tx>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2805-4155-9FE1-55B6C7F6F363}"/>
              </c:ext>
            </c:extLst>
          </c:dPt>
          <c:dLbls>
            <c:spPr>
              <a:noFill/>
              <a:ln w="25400">
                <a:noFill/>
              </a:ln>
            </c:spPr>
            <c:txPr>
              <a:bodyPr wrap="square" lIns="38100" tIns="19050" rIns="38100" bIns="19050" anchor="ctr">
                <a:spAutoFit/>
              </a:bodyPr>
              <a:lstStyle/>
              <a:p>
                <a:pPr>
                  <a:defRPr sz="17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val>
            <c:numRef>
              <c:f>'Execution Report'!#REF!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'Execution Report'!#REF!</c15:sqref>
                        </c15:formulaRef>
                      </c:ext>
                    </c:extLst>
                    <c:strCache>
                      <c:ptCount val="1"/>
                      <c:pt idx="0">
                        <c:v>#REF!</c:v>
                      </c:pt>
                    </c:strCache>
                  </c:strRef>
                </c15:cat>
              </c15:filteredCategoryTitle>
            </c:ext>
            <c:ext xmlns:c16="http://schemas.microsoft.com/office/drawing/2014/chart" uri="{C3380CC4-5D6E-409C-BE32-E72D297353CC}">
              <c16:uniqueId val="{00000001-2805-4155-9FE1-55B6C7F6F363}"/>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
          <c:y val="0"/>
          <c:w val="0"/>
          <c:h val="0"/>
        </c:manualLayout>
      </c:layout>
      <c:overlay val="0"/>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5" b="1" i="0" u="none" strike="noStrike" baseline="0">
                <a:solidFill>
                  <a:srgbClr val="000000"/>
                </a:solidFill>
                <a:latin typeface="Arial"/>
                <a:ea typeface="Arial"/>
                <a:cs typeface="Arial"/>
              </a:defRPr>
            </a:pPr>
            <a:r>
              <a:rPr lang="en-US"/>
              <a:t>ACTUAL DUE DATE TREND</a:t>
            </a:r>
          </a:p>
        </c:rich>
      </c:tx>
      <c:layout>
        <c:manualLayout>
          <c:xMode val="edge"/>
          <c:yMode val="edge"/>
          <c:x val="0"/>
          <c:y val="0"/>
        </c:manualLayout>
      </c:layout>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Ref>
              <c:f>'Execution Report'!#REF!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'Execution Report'!#REF!</c15:sqref>
                        </c15:formulaRef>
                      </c:ext>
                    </c:extLst>
                    <c:strCache>
                      <c:ptCount val="1"/>
                      <c:pt idx="0">
                        <c:v>#REF!</c:v>
                      </c:pt>
                    </c:strCache>
                  </c:strRef>
                </c15:cat>
              </c15:filteredCategoryTitle>
            </c:ext>
            <c:ext xmlns:c16="http://schemas.microsoft.com/office/drawing/2014/chart" uri="{C3380CC4-5D6E-409C-BE32-E72D297353CC}">
              <c16:uniqueId val="{00000000-3B2A-404D-974A-7CBAA30A0A27}"/>
            </c:ext>
          </c:extLst>
        </c:ser>
        <c:dLbls>
          <c:showLegendKey val="0"/>
          <c:showVal val="0"/>
          <c:showCatName val="0"/>
          <c:showSerName val="0"/>
          <c:showPercent val="0"/>
          <c:showBubbleSize val="0"/>
        </c:dLbls>
        <c:gapWidth val="150"/>
        <c:axId val="305691360"/>
        <c:axId val="1"/>
      </c:barChart>
      <c:catAx>
        <c:axId val="30569136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n-US"/>
                  <a:t>Day</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en-US"/>
          </a:p>
        </c:txPr>
        <c:crossAx val="305691360"/>
        <c:crosses val="autoZero"/>
        <c:crossBetween val="between"/>
      </c:valAx>
      <c:spPr>
        <a:solidFill>
          <a:srgbClr val="FFFFFF"/>
        </a:solidFill>
        <a:ln w="12700">
          <a:solidFill>
            <a:srgbClr val="FFFFFF"/>
          </a:solidFill>
          <a:prstDash val="solid"/>
        </a:ln>
      </c:spPr>
    </c:plotArea>
    <c:legend>
      <c:legendPos val="r"/>
      <c:layout>
        <c:manualLayout>
          <c:xMode val="edge"/>
          <c:yMode val="edge"/>
          <c:x val="0"/>
          <c:y val="0"/>
          <c:w val="0"/>
          <c:h val="0"/>
        </c:manualLayout>
      </c:layout>
      <c:overlay val="0"/>
      <c:spPr>
        <a:solidFill>
          <a:srgbClr val="FFFFFF"/>
        </a:solidFill>
        <a:ln w="3175">
          <a:solidFill>
            <a:srgbClr val="000000"/>
          </a:solidFill>
          <a:prstDash val="solid"/>
        </a:ln>
      </c:spPr>
      <c:txPr>
        <a:bodyPr/>
        <a:lstStyle/>
        <a:p>
          <a:pPr>
            <a:defRPr sz="5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OVERALL "OPEN" STATUS</a:t>
            </a:r>
          </a:p>
        </c:rich>
      </c:tx>
      <c:layout>
        <c:manualLayout>
          <c:xMode val="edge"/>
          <c:yMode val="edge"/>
          <c:x val="0.20110206051829727"/>
          <c:y val="3.7671516226034658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21212178278286087"/>
          <c:y val="0.40753492805364416"/>
          <c:w val="0.57575912469633672"/>
          <c:h val="0.28424705065926442"/>
        </c:manualLayout>
      </c:layout>
      <c:pie3DChart>
        <c:varyColors val="1"/>
        <c:ser>
          <c:idx val="0"/>
          <c:order val="0"/>
          <c:tx>
            <c:v>DIAGRAM</c:v>
          </c:tx>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EAD0-4AE5-846E-59F254886D18}"/>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EAD0-4AE5-846E-59F254886D18}"/>
              </c:ext>
            </c:extLst>
          </c:dPt>
          <c:dPt>
            <c:idx val="2"/>
            <c:bubble3D val="0"/>
            <c:spPr>
              <a:solidFill>
                <a:srgbClr val="99CC00"/>
              </a:solidFill>
              <a:ln w="12700">
                <a:solidFill>
                  <a:srgbClr val="000000"/>
                </a:solidFill>
                <a:prstDash val="solid"/>
              </a:ln>
            </c:spPr>
            <c:extLst>
              <c:ext xmlns:c16="http://schemas.microsoft.com/office/drawing/2014/chart" uri="{C3380CC4-5D6E-409C-BE32-E72D297353CC}">
                <c16:uniqueId val="{00000002-EAD0-4AE5-846E-59F254886D18}"/>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'Execution Report'!$O$5:$O$7</c:f>
              <c:strCache>
                <c:ptCount val="3"/>
                <c:pt idx="0">
                  <c:v>HIGH</c:v>
                </c:pt>
                <c:pt idx="1">
                  <c:v>MEDIUM</c:v>
                </c:pt>
                <c:pt idx="2">
                  <c:v>LOW</c:v>
                </c:pt>
              </c:strCache>
            </c:strRef>
          </c:cat>
          <c:val>
            <c:numRef>
              <c:f>'Execution Report'!$Q$5:$Q$7</c:f>
              <c:numCache>
                <c:formatCode>0%</c:formatCode>
                <c:ptCount val="3"/>
                <c:pt idx="0">
                  <c:v>1</c:v>
                </c:pt>
                <c:pt idx="1">
                  <c:v>0</c:v>
                </c:pt>
                <c:pt idx="2">
                  <c:v>0</c:v>
                </c:pt>
              </c:numCache>
            </c:numRef>
          </c:val>
          <c:extLst>
            <c:ext xmlns:c16="http://schemas.microsoft.com/office/drawing/2014/chart" uri="{C3380CC4-5D6E-409C-BE32-E72D297353CC}">
              <c16:uniqueId val="{00000003-EAD0-4AE5-846E-59F254886D18}"/>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1.4327088424291791E-2"/>
          <c:y val="0.87799412490657214"/>
          <c:w val="0.97711014571454424"/>
          <c:h val="8.1358571900366772E-2"/>
        </c:manualLayout>
      </c:layout>
      <c:overlay val="0"/>
      <c:spPr>
        <a:solidFill>
          <a:srgbClr val="FFFFFF"/>
        </a:solidFill>
        <a:ln w="3175">
          <a:solidFill>
            <a:srgbClr val="000000"/>
          </a:solidFill>
          <a:prstDash val="solid"/>
        </a:ln>
      </c:spPr>
      <c:txPr>
        <a:bodyPr/>
        <a:lstStyle/>
        <a:p>
          <a:pPr>
            <a:defRPr sz="57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OVERALL TEST CASE STATUS</a:t>
            </a:r>
          </a:p>
        </c:rich>
      </c:tx>
      <c:layout>
        <c:manualLayout>
          <c:xMode val="edge"/>
          <c:yMode val="edge"/>
          <c:x val="0.1657609003860667"/>
          <c:y val="3.7415174588324975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7391304347826086"/>
          <c:y val="0.38435501818604573"/>
          <c:w val="0.64945652173913049"/>
          <c:h val="0.32313032502366679"/>
        </c:manualLayout>
      </c:layout>
      <c:pie3DChart>
        <c:varyColors val="1"/>
        <c:ser>
          <c:idx val="0"/>
          <c:order val="0"/>
          <c:tx>
            <c:v>DIAGRAM</c:v>
          </c:tx>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4D1C-4A0C-980E-8CB0C200F0CC}"/>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4D1C-4A0C-980E-8CB0C200F0CC}"/>
              </c:ext>
            </c:extLst>
          </c:dPt>
          <c:dPt>
            <c:idx val="2"/>
            <c:bubble3D val="0"/>
            <c:spPr>
              <a:solidFill>
                <a:srgbClr val="99CC00"/>
              </a:solidFill>
              <a:ln w="12700">
                <a:solidFill>
                  <a:srgbClr val="000000"/>
                </a:solidFill>
                <a:prstDash val="solid"/>
              </a:ln>
            </c:spPr>
            <c:extLst>
              <c:ext xmlns:c16="http://schemas.microsoft.com/office/drawing/2014/chart" uri="{C3380CC4-5D6E-409C-BE32-E72D297353CC}">
                <c16:uniqueId val="{00000002-4D1C-4A0C-980E-8CB0C200F0CC}"/>
              </c:ext>
            </c:extLst>
          </c:dPt>
          <c:dPt>
            <c:idx val="3"/>
            <c:bubble3D val="0"/>
            <c:spPr>
              <a:solidFill>
                <a:srgbClr val="FF0000"/>
              </a:solidFill>
              <a:ln w="12700">
                <a:solidFill>
                  <a:srgbClr val="000000"/>
                </a:solidFill>
                <a:prstDash val="solid"/>
              </a:ln>
            </c:spPr>
            <c:extLst>
              <c:ext xmlns:c16="http://schemas.microsoft.com/office/drawing/2014/chart" uri="{C3380CC4-5D6E-409C-BE32-E72D297353CC}">
                <c16:uniqueId val="{00000003-4D1C-4A0C-980E-8CB0C200F0CC}"/>
              </c:ext>
            </c:extLst>
          </c:dPt>
          <c:dLbls>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'Execution Report'!$B$5:$B$8</c:f>
              <c:strCache>
                <c:ptCount val="4"/>
                <c:pt idx="0">
                  <c:v>NOT STARTED</c:v>
                </c:pt>
                <c:pt idx="1">
                  <c:v>IN PROGRESS</c:v>
                </c:pt>
                <c:pt idx="2">
                  <c:v>OK</c:v>
                </c:pt>
                <c:pt idx="3">
                  <c:v>NOK</c:v>
                </c:pt>
              </c:strCache>
            </c:strRef>
          </c:cat>
          <c:val>
            <c:numRef>
              <c:f>'Execution Report'!$D$5:$D$8</c:f>
              <c:numCache>
                <c:formatCode>0%</c:formatCode>
                <c:ptCount val="4"/>
                <c:pt idx="0">
                  <c:v>0.35714285714285715</c:v>
                </c:pt>
                <c:pt idx="1">
                  <c:v>0</c:v>
                </c:pt>
                <c:pt idx="2">
                  <c:v>0.4642857142857143</c:v>
                </c:pt>
                <c:pt idx="3">
                  <c:v>0.17857142857142858</c:v>
                </c:pt>
              </c:numCache>
            </c:numRef>
          </c:val>
          <c:extLst>
            <c:ext xmlns:c16="http://schemas.microsoft.com/office/drawing/2014/chart" uri="{C3380CC4-5D6E-409C-BE32-E72D297353CC}">
              <c16:uniqueId val="{00000004-4D1C-4A0C-980E-8CB0C200F0CC}"/>
            </c:ext>
          </c:extLst>
        </c:ser>
        <c:dLbls>
          <c:showLegendKey val="0"/>
          <c:showVal val="0"/>
          <c:showCatName val="0"/>
          <c:showSerName val="0"/>
          <c:showPercent val="0"/>
          <c:showBubbleSize val="0"/>
          <c:showLeaderLines val="0"/>
        </c:dLbls>
      </c:pie3DChart>
      <c:spPr>
        <a:noFill/>
        <a:ln w="25400">
          <a:noFill/>
        </a:ln>
      </c:spPr>
    </c:plotArea>
    <c:legend>
      <c:legendPos val="r"/>
      <c:layout>
        <c:manualLayout>
          <c:xMode val="edge"/>
          <c:yMode val="edge"/>
          <c:x val="1.6575130324775887E-2"/>
          <c:y val="0.8817878953249656"/>
          <c:w val="0.94754378694352959"/>
          <c:h val="7.4326897256654756E-2"/>
        </c:manualLayout>
      </c:layout>
      <c:overlay val="0"/>
      <c:spPr>
        <a:solidFill>
          <a:srgbClr val="FFFFFF"/>
        </a:solidFill>
        <a:ln w="3175">
          <a:solidFill>
            <a:srgbClr val="000000"/>
          </a:solidFill>
          <a:prstDash val="solid"/>
        </a:ln>
      </c:spPr>
      <c:txPr>
        <a:bodyPr/>
        <a:lstStyle/>
        <a:p>
          <a:pPr>
            <a:defRPr sz="57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OVERALL DEFECT TYPIFICATION</a:t>
            </a:r>
          </a:p>
        </c:rich>
      </c:tx>
      <c:layout>
        <c:manualLayout>
          <c:xMode val="edge"/>
          <c:yMode val="edge"/>
          <c:x val="0.2011017690585287"/>
          <c:y val="3.767135665418872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21212178278286095"/>
          <c:y val="0.40753492805364427"/>
          <c:w val="0.57575912469633672"/>
          <c:h val="0.28424705065926431"/>
        </c:manualLayout>
      </c:layout>
      <c:pie3DChart>
        <c:varyColors val="1"/>
        <c:ser>
          <c:idx val="0"/>
          <c:order val="0"/>
          <c:tx>
            <c:v>DIAGRAM</c:v>
          </c:tx>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32D4-486E-9232-B2389314462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2D4-486E-9232-B23893144622}"/>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'Execution Report'!$U$5:$U$6</c:f>
              <c:strCache>
                <c:ptCount val="2"/>
                <c:pt idx="0">
                  <c:v>Product Type</c:v>
                </c:pt>
                <c:pt idx="1">
                  <c:v>Implementation type</c:v>
                </c:pt>
              </c:strCache>
            </c:strRef>
          </c:cat>
          <c:val>
            <c:numRef>
              <c:f>'Execution Report'!$W$5:$W$6</c:f>
              <c:numCache>
                <c:formatCode>0%</c:formatCode>
                <c:ptCount val="2"/>
                <c:pt idx="0">
                  <c:v>0</c:v>
                </c:pt>
                <c:pt idx="1">
                  <c:v>1</c:v>
                </c:pt>
              </c:numCache>
            </c:numRef>
          </c:val>
          <c:extLst>
            <c:ext xmlns:c16="http://schemas.microsoft.com/office/drawing/2014/chart" uri="{C3380CC4-5D6E-409C-BE32-E72D297353CC}">
              <c16:uniqueId val="{00000002-32D4-486E-9232-B23893144622}"/>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1.4124886931506443E-2"/>
          <c:y val="0.87922240867432555"/>
          <c:w val="0.97461008051959608"/>
          <c:h val="7.382780431134639E-2"/>
        </c:manualLayout>
      </c:layout>
      <c:overlay val="0"/>
      <c:spPr>
        <a:solidFill>
          <a:srgbClr val="FFFFFF"/>
        </a:solidFill>
        <a:ln w="3175">
          <a:solidFill>
            <a:srgbClr val="000000"/>
          </a:solidFill>
          <a:prstDash val="solid"/>
        </a:ln>
      </c:spPr>
      <c:txPr>
        <a:bodyPr/>
        <a:lstStyle/>
        <a:p>
          <a:pPr>
            <a:defRPr sz="57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121285</xdr:colOff>
      <xdr:row>5</xdr:row>
      <xdr:rowOff>48895</xdr:rowOff>
    </xdr:from>
    <xdr:to>
      <xdr:col>10</xdr:col>
      <xdr:colOff>318093</xdr:colOff>
      <xdr:row>17</xdr:row>
      <xdr:rowOff>41917</xdr:rowOff>
    </xdr:to>
    <xdr:sp macro="" textlink="">
      <xdr:nvSpPr>
        <xdr:cNvPr id="19457" name="Text Box 1">
          <a:extLst>
            <a:ext uri="{FF2B5EF4-FFF2-40B4-BE49-F238E27FC236}">
              <a16:creationId xmlns:a16="http://schemas.microsoft.com/office/drawing/2014/main" id="{746F611D-9A02-2EAB-2FE0-AA52B3C1092B}"/>
            </a:ext>
          </a:extLst>
        </xdr:cNvPr>
        <xdr:cNvSpPr txBox="1">
          <a:spLocks noChangeArrowheads="1"/>
        </xdr:cNvSpPr>
      </xdr:nvSpPr>
      <xdr:spPr bwMode="auto">
        <a:xfrm>
          <a:off x="171450" y="1057275"/>
          <a:ext cx="6753225" cy="2667000"/>
        </a:xfrm>
        <a:prstGeom prst="rect">
          <a:avLst/>
        </a:prstGeom>
        <a:solidFill>
          <a:srgbClr val="FFFFFF"/>
        </a:solidFill>
        <a:ln w="9525">
          <a:noFill/>
          <a:miter lim="800000"/>
          <a:headEnd/>
          <a:tailEnd/>
        </a:ln>
      </xdr:spPr>
      <xdr:txBody>
        <a:bodyPr vertOverflow="clip" wrap="square" lIns="91440" tIns="45720" rIns="91440" bIns="45720" anchor="t" upright="1"/>
        <a:lstStyle/>
        <a:p>
          <a:pPr algn="ctr" rtl="0">
            <a:defRPr sz="1000"/>
          </a:pPr>
          <a:endParaRPr lang="en-US" sz="1200" b="1" i="0" strike="noStrike">
            <a:solidFill>
              <a:srgbClr val="000000"/>
            </a:solidFill>
            <a:latin typeface="Arial"/>
            <a:cs typeface="Arial"/>
          </a:endParaRPr>
        </a:p>
        <a:p>
          <a:pPr algn="ctr" rtl="0">
            <a:defRPr sz="1000"/>
          </a:pPr>
          <a:endParaRPr lang="en-US" sz="1200" b="1" i="0" strike="noStrike">
            <a:solidFill>
              <a:srgbClr val="000000"/>
            </a:solidFill>
            <a:latin typeface="Arial"/>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800" b="1" baseline="0">
              <a:effectLst/>
              <a:latin typeface="+mn-lt"/>
              <a:ea typeface="+mn-ea"/>
              <a:cs typeface="+mn-cs"/>
            </a:rPr>
            <a:t>Zain Jordan </a:t>
          </a:r>
          <a:endParaRPr lang="en-US" sz="2000" b="1" i="0" strike="noStrike" baseline="0">
            <a:solidFill>
              <a:srgbClr val="000000"/>
            </a:solidFill>
            <a:latin typeface="Arial"/>
            <a:cs typeface="Arial"/>
          </a:endParaRPr>
        </a:p>
        <a:p>
          <a:pPr algn="ctr" rtl="0">
            <a:defRPr sz="1000"/>
          </a:pPr>
          <a:r>
            <a:rPr lang="en-US" sz="2000" b="1" i="0" strike="noStrike" baseline="0">
              <a:solidFill>
                <a:srgbClr val="000000"/>
              </a:solidFill>
              <a:latin typeface="Arial"/>
              <a:cs typeface="Arial"/>
            </a:rPr>
            <a:t>RAID - Wangiri Fraud- System Test Cases</a:t>
          </a:r>
          <a:endParaRPr lang="en-US" sz="1800" b="1" i="1" strike="noStrike">
            <a:solidFill>
              <a:srgbClr val="000000"/>
            </a:solidFill>
            <a:latin typeface="Arial"/>
            <a:cs typeface="Arial"/>
          </a:endParaRPr>
        </a:p>
        <a:p>
          <a:pPr algn="ctr" rtl="0">
            <a:defRPr sz="1000"/>
          </a:pPr>
          <a:endParaRPr lang="en-US" sz="1200" b="1" i="0" strike="noStrike">
            <a:solidFill>
              <a:srgbClr val="000000"/>
            </a:solidFill>
            <a:latin typeface="Arial"/>
            <a:cs typeface="Arial"/>
          </a:endParaRPr>
        </a:p>
        <a:p>
          <a:pPr algn="ctr" rtl="0">
            <a:defRPr sz="1000"/>
          </a:pPr>
          <a:endParaRPr lang="en-US" sz="1200" b="1" i="0" strike="noStrike">
            <a:solidFill>
              <a:srgbClr val="000000"/>
            </a:solidFill>
            <a:latin typeface="Arial"/>
            <a:cs typeface="Arial"/>
          </a:endParaRPr>
        </a:p>
      </xdr:txBody>
    </xdr:sp>
    <xdr:clientData/>
  </xdr:twoCellAnchor>
  <xdr:twoCellAnchor>
    <xdr:from>
      <xdr:col>4</xdr:col>
      <xdr:colOff>180975</xdr:colOff>
      <xdr:row>13</xdr:row>
      <xdr:rowOff>76200</xdr:rowOff>
    </xdr:from>
    <xdr:to>
      <xdr:col>7</xdr:col>
      <xdr:colOff>28575</xdr:colOff>
      <xdr:row>16</xdr:row>
      <xdr:rowOff>57150</xdr:rowOff>
    </xdr:to>
    <xdr:pic>
      <xdr:nvPicPr>
        <xdr:cNvPr id="6991009" name="Picture 3" descr="image008">
          <a:extLst>
            <a:ext uri="{FF2B5EF4-FFF2-40B4-BE49-F238E27FC236}">
              <a16:creationId xmlns:a16="http://schemas.microsoft.com/office/drawing/2014/main" id="{7E4755B7-F600-5F19-F6F0-81808DACA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0800" y="2857500"/>
          <a:ext cx="19050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0</xdr:colOff>
      <xdr:row>13</xdr:row>
      <xdr:rowOff>38515</xdr:rowOff>
    </xdr:from>
    <xdr:to>
      <xdr:col>13</xdr:col>
      <xdr:colOff>0</xdr:colOff>
      <xdr:row>30</xdr:row>
      <xdr:rowOff>99392</xdr:rowOff>
    </xdr:to>
    <xdr:graphicFrame macro="">
      <xdr:nvGraphicFramePr>
        <xdr:cNvPr id="6992352" name="Chart 2">
          <a:extLst>
            <a:ext uri="{FF2B5EF4-FFF2-40B4-BE49-F238E27FC236}">
              <a16:creationId xmlns:a16="http://schemas.microsoft.com/office/drawing/2014/main" id="{613F9ACD-AD6F-BE38-7F12-138B2B043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12</xdr:col>
      <xdr:colOff>0</xdr:colOff>
      <xdr:row>17</xdr:row>
      <xdr:rowOff>0</xdr:rowOff>
    </xdr:to>
    <xdr:graphicFrame macro="">
      <xdr:nvGraphicFramePr>
        <xdr:cNvPr id="6992353" name="Chart 3">
          <a:extLst>
            <a:ext uri="{FF2B5EF4-FFF2-40B4-BE49-F238E27FC236}">
              <a16:creationId xmlns:a16="http://schemas.microsoft.com/office/drawing/2014/main" id="{A3E1E13E-7109-6432-0387-02773891D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17</xdr:row>
      <xdr:rowOff>0</xdr:rowOff>
    </xdr:from>
    <xdr:to>
      <xdr:col>12</xdr:col>
      <xdr:colOff>0</xdr:colOff>
      <xdr:row>17</xdr:row>
      <xdr:rowOff>0</xdr:rowOff>
    </xdr:to>
    <xdr:graphicFrame macro="">
      <xdr:nvGraphicFramePr>
        <xdr:cNvPr id="6992354" name="Chart 4">
          <a:extLst>
            <a:ext uri="{FF2B5EF4-FFF2-40B4-BE49-F238E27FC236}">
              <a16:creationId xmlns:a16="http://schemas.microsoft.com/office/drawing/2014/main" id="{0F019913-5B4B-6F7D-E6DC-261F57A1D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74542</xdr:colOff>
      <xdr:row>13</xdr:row>
      <xdr:rowOff>38515</xdr:rowOff>
    </xdr:from>
    <xdr:to>
      <xdr:col>17</xdr:col>
      <xdr:colOff>604629</xdr:colOff>
      <xdr:row>30</xdr:row>
      <xdr:rowOff>99392</xdr:rowOff>
    </xdr:to>
    <xdr:graphicFrame macro="">
      <xdr:nvGraphicFramePr>
        <xdr:cNvPr id="6992355" name="Chart 6">
          <a:extLst>
            <a:ext uri="{FF2B5EF4-FFF2-40B4-BE49-F238E27FC236}">
              <a16:creationId xmlns:a16="http://schemas.microsoft.com/office/drawing/2014/main" id="{F373A975-6A2A-1D97-9347-7B2B15CBB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57149</xdr:colOff>
      <xdr:row>13</xdr:row>
      <xdr:rowOff>28990</xdr:rowOff>
    </xdr:from>
    <xdr:to>
      <xdr:col>7</xdr:col>
      <xdr:colOff>16564</xdr:colOff>
      <xdr:row>30</xdr:row>
      <xdr:rowOff>99392</xdr:rowOff>
    </xdr:to>
    <xdr:graphicFrame macro="">
      <xdr:nvGraphicFramePr>
        <xdr:cNvPr id="6992356" name="Chart 7">
          <a:extLst>
            <a:ext uri="{FF2B5EF4-FFF2-40B4-BE49-F238E27FC236}">
              <a16:creationId xmlns:a16="http://schemas.microsoft.com/office/drawing/2014/main" id="{55610C14-C15B-081D-B480-91D60B0B9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19</xdr:col>
      <xdr:colOff>133349</xdr:colOff>
      <xdr:row>13</xdr:row>
      <xdr:rowOff>70817</xdr:rowOff>
    </xdr:from>
    <xdr:to>
      <xdr:col>24</xdr:col>
      <xdr:colOff>36857</xdr:colOff>
      <xdr:row>30</xdr:row>
      <xdr:rowOff>62534</xdr:rowOff>
    </xdr:to>
    <xdr:graphicFrame macro="">
      <xdr:nvGraphicFramePr>
        <xdr:cNvPr id="6992357" name="Chart 6">
          <a:extLst>
            <a:ext uri="{FF2B5EF4-FFF2-40B4-BE49-F238E27FC236}">
              <a16:creationId xmlns:a16="http://schemas.microsoft.com/office/drawing/2014/main" id="{B4EA16EF-39A8-4EFF-92E6-BBC9D9369792}"/>
            </a:ext>
            <a:ext uri="{147F2762-F138-4A5C-976F-8EAC2B608ADB}">
              <a16:predDERef xmlns:a16="http://schemas.microsoft.com/office/drawing/2014/main" pred="{55610C14-C15B-081D-B480-91D60B0B9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ribeiro\Project\Documents%20and%20Settings\nash0l1\Local%20Settings\Temp\Temporary%20Directory%201%20for%20OHUK%20Rec.xls1.zip\2005%20tb%20re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tccntfrm01\Financial%20Operations%20and%20Excellence\Users\kuntal.sengupta\AppData\Local\Microsoft\Windows\INetCache\Content.Outlook\4YKAL8PS\Acceptance%20test%20FMS%20STC%20project%20%20V.1.2%20(27-Dec-2021)%20(0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ribeiro\Project\Documents%20and%20Settings\EGAN0D3\Local%20Settings\Temp\Temporary%20Directory%201%20for%20TB%20Rec%20OHUK_0605%20v5.xls.zip\TB%20Rec%20OHUK_0605%20v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Mapping"/>
      <sheetName val="Sheet1"/>
      <sheetName val="Reference"/>
      <sheetName val="Cover"/>
      <sheetName val="Execution Report"/>
      <sheetName val="Test Cycle Plan"/>
      <sheetName val="Defects"/>
    </sheetNames>
    <sheetDataSet>
      <sheetData sheetId="0">
        <row r="2">
          <cell r="F2">
            <v>5002110</v>
          </cell>
        </row>
      </sheetData>
      <sheetData sheetId="1">
        <row r="2">
          <cell r="F2">
            <v>5002110</v>
          </cell>
        </row>
        <row r="3">
          <cell r="F3">
            <v>5002120</v>
          </cell>
        </row>
        <row r="4">
          <cell r="F4">
            <v>5002122</v>
          </cell>
        </row>
        <row r="5">
          <cell r="F5">
            <v>5003210</v>
          </cell>
        </row>
        <row r="6">
          <cell r="F6">
            <v>5002064</v>
          </cell>
        </row>
        <row r="7">
          <cell r="F7">
            <v>5003110</v>
          </cell>
        </row>
        <row r="8">
          <cell r="F8">
            <v>5003120</v>
          </cell>
        </row>
        <row r="9">
          <cell r="F9">
            <v>5003160</v>
          </cell>
        </row>
        <row r="10">
          <cell r="F10">
            <v>5003200</v>
          </cell>
        </row>
        <row r="11">
          <cell r="F11">
            <v>5003170</v>
          </cell>
        </row>
        <row r="12">
          <cell r="F12">
            <v>5007050</v>
          </cell>
        </row>
        <row r="13">
          <cell r="F13">
            <v>5001120</v>
          </cell>
        </row>
        <row r="14">
          <cell r="F14">
            <v>5001110</v>
          </cell>
        </row>
        <row r="15">
          <cell r="F15">
            <v>5001140</v>
          </cell>
        </row>
        <row r="16">
          <cell r="F16">
            <v>5003140</v>
          </cell>
        </row>
        <row r="17">
          <cell r="F17">
            <v>5001150</v>
          </cell>
        </row>
        <row r="18">
          <cell r="F18">
            <v>5001151</v>
          </cell>
        </row>
        <row r="19">
          <cell r="F19">
            <v>5005000</v>
          </cell>
        </row>
        <row r="20">
          <cell r="F20">
            <v>5001152</v>
          </cell>
        </row>
        <row r="21">
          <cell r="F21">
            <v>5001153</v>
          </cell>
        </row>
        <row r="22">
          <cell r="F22">
            <v>5001160</v>
          </cell>
        </row>
        <row r="23">
          <cell r="F23">
            <v>5001199</v>
          </cell>
        </row>
        <row r="24">
          <cell r="F24">
            <v>5000102</v>
          </cell>
        </row>
        <row r="25">
          <cell r="F25">
            <v>5001170</v>
          </cell>
        </row>
        <row r="26">
          <cell r="F26">
            <v>5001032</v>
          </cell>
        </row>
        <row r="27">
          <cell r="F27">
            <v>5001039</v>
          </cell>
        </row>
        <row r="28">
          <cell r="F28">
            <v>5001041</v>
          </cell>
        </row>
        <row r="29">
          <cell r="F29">
            <v>5010100</v>
          </cell>
        </row>
        <row r="30">
          <cell r="F30">
            <v>5010110</v>
          </cell>
        </row>
        <row r="31">
          <cell r="F31">
            <v>5001027</v>
          </cell>
        </row>
        <row r="32">
          <cell r="F32">
            <v>5001017</v>
          </cell>
        </row>
        <row r="33">
          <cell r="F33">
            <v>5001022</v>
          </cell>
        </row>
        <row r="34">
          <cell r="F34">
            <v>5001047</v>
          </cell>
        </row>
        <row r="35">
          <cell r="F35">
            <v>5001049</v>
          </cell>
        </row>
        <row r="36">
          <cell r="F36">
            <v>5001051</v>
          </cell>
        </row>
        <row r="37">
          <cell r="F37">
            <v>5001034</v>
          </cell>
        </row>
        <row r="38">
          <cell r="F38">
            <v>5040000</v>
          </cell>
        </row>
        <row r="39">
          <cell r="F39">
            <v>5003131</v>
          </cell>
        </row>
        <row r="40">
          <cell r="F40">
            <v>5003130</v>
          </cell>
        </row>
        <row r="41">
          <cell r="F41">
            <v>5040010</v>
          </cell>
        </row>
        <row r="42">
          <cell r="F42">
            <v>5020122</v>
          </cell>
        </row>
        <row r="43">
          <cell r="F43">
            <v>5040035</v>
          </cell>
        </row>
        <row r="44">
          <cell r="F44">
            <v>5090085</v>
          </cell>
        </row>
        <row r="45">
          <cell r="F45">
            <v>5010220</v>
          </cell>
        </row>
        <row r="46">
          <cell r="F46">
            <v>5010223</v>
          </cell>
        </row>
        <row r="47">
          <cell r="F47">
            <v>5020441</v>
          </cell>
        </row>
        <row r="48">
          <cell r="F48">
            <v>5040022</v>
          </cell>
        </row>
        <row r="49">
          <cell r="F49">
            <v>5095000</v>
          </cell>
        </row>
        <row r="50">
          <cell r="F50">
            <v>5001130</v>
          </cell>
        </row>
        <row r="51">
          <cell r="F51">
            <v>5040040</v>
          </cell>
        </row>
        <row r="52">
          <cell r="F52">
            <v>5040030</v>
          </cell>
        </row>
        <row r="53">
          <cell r="F53">
            <v>5095001</v>
          </cell>
        </row>
        <row r="54">
          <cell r="F54">
            <v>5095010</v>
          </cell>
        </row>
        <row r="55">
          <cell r="F55">
            <v>5095011</v>
          </cell>
        </row>
        <row r="56">
          <cell r="F56">
            <v>5095020</v>
          </cell>
        </row>
        <row r="57">
          <cell r="F57">
            <v>5095021</v>
          </cell>
        </row>
        <row r="58">
          <cell r="F58">
            <v>5095030</v>
          </cell>
        </row>
        <row r="59">
          <cell r="F59">
            <v>5095031</v>
          </cell>
        </row>
        <row r="60">
          <cell r="F60">
            <v>5003150</v>
          </cell>
        </row>
        <row r="61">
          <cell r="F61">
            <v>5040020</v>
          </cell>
        </row>
        <row r="62">
          <cell r="F62">
            <v>5040061</v>
          </cell>
        </row>
        <row r="63">
          <cell r="F63">
            <v>5006080</v>
          </cell>
        </row>
        <row r="64">
          <cell r="F64">
            <v>5095040</v>
          </cell>
        </row>
        <row r="65">
          <cell r="F65">
            <v>5095041</v>
          </cell>
        </row>
        <row r="66">
          <cell r="F66">
            <v>5095050</v>
          </cell>
        </row>
        <row r="67">
          <cell r="F67">
            <v>5095051</v>
          </cell>
        </row>
        <row r="68">
          <cell r="F68">
            <v>5006073</v>
          </cell>
        </row>
        <row r="69">
          <cell r="F69">
            <v>5006076</v>
          </cell>
        </row>
        <row r="70">
          <cell r="F70">
            <v>5006061</v>
          </cell>
        </row>
        <row r="71">
          <cell r="F71">
            <v>5006063</v>
          </cell>
        </row>
        <row r="72">
          <cell r="F72">
            <v>5006070</v>
          </cell>
        </row>
        <row r="73">
          <cell r="F73">
            <v>5070070</v>
          </cell>
        </row>
        <row r="74">
          <cell r="F74">
            <v>5006060</v>
          </cell>
        </row>
        <row r="75">
          <cell r="F75">
            <v>5000100</v>
          </cell>
        </row>
        <row r="76">
          <cell r="F76">
            <v>5095060</v>
          </cell>
        </row>
        <row r="77">
          <cell r="F77">
            <v>5020431</v>
          </cell>
        </row>
        <row r="78">
          <cell r="F78">
            <v>5095061</v>
          </cell>
        </row>
        <row r="79">
          <cell r="F79">
            <v>5020430</v>
          </cell>
        </row>
        <row r="80">
          <cell r="F80">
            <v>5020100</v>
          </cell>
        </row>
        <row r="81">
          <cell r="F81">
            <v>5001029</v>
          </cell>
        </row>
        <row r="82">
          <cell r="F82">
            <v>5020421</v>
          </cell>
        </row>
        <row r="83">
          <cell r="F83">
            <v>5095070</v>
          </cell>
        </row>
        <row r="84">
          <cell r="F84">
            <v>5095071</v>
          </cell>
        </row>
        <row r="85">
          <cell r="F85">
            <v>5095080</v>
          </cell>
        </row>
        <row r="86">
          <cell r="F86">
            <v>5095081</v>
          </cell>
        </row>
        <row r="87">
          <cell r="F87">
            <v>5095090</v>
          </cell>
        </row>
        <row r="88">
          <cell r="F88">
            <v>5050000</v>
          </cell>
        </row>
        <row r="89">
          <cell r="F89">
            <v>5050035</v>
          </cell>
        </row>
        <row r="90">
          <cell r="F90">
            <v>5095091</v>
          </cell>
        </row>
        <row r="91">
          <cell r="F91">
            <v>5095100</v>
          </cell>
        </row>
        <row r="92">
          <cell r="F92">
            <v>5020451</v>
          </cell>
        </row>
        <row r="93">
          <cell r="F93">
            <v>5095101</v>
          </cell>
        </row>
        <row r="94">
          <cell r="F94">
            <v>5095110</v>
          </cell>
        </row>
        <row r="95">
          <cell r="F95">
            <v>5020120</v>
          </cell>
        </row>
        <row r="96">
          <cell r="F96">
            <v>5050030</v>
          </cell>
        </row>
        <row r="97">
          <cell r="F97">
            <v>5095111</v>
          </cell>
        </row>
        <row r="98">
          <cell r="F98">
            <v>5095120</v>
          </cell>
        </row>
        <row r="99">
          <cell r="F99">
            <v>5095121</v>
          </cell>
        </row>
        <row r="100">
          <cell r="F100">
            <v>5095130</v>
          </cell>
        </row>
        <row r="101">
          <cell r="F101">
            <v>5080000</v>
          </cell>
        </row>
        <row r="102">
          <cell r="F102">
            <v>5080010</v>
          </cell>
        </row>
        <row r="103">
          <cell r="F103">
            <v>5095131</v>
          </cell>
        </row>
        <row r="104">
          <cell r="F104">
            <v>5002111</v>
          </cell>
        </row>
        <row r="105">
          <cell r="F105">
            <v>5002121</v>
          </cell>
        </row>
        <row r="106">
          <cell r="F106">
            <v>5003111</v>
          </cell>
        </row>
        <row r="107">
          <cell r="F107">
            <v>5003121</v>
          </cell>
        </row>
        <row r="108">
          <cell r="F108">
            <v>5003161</v>
          </cell>
        </row>
        <row r="109">
          <cell r="F109">
            <v>5003201</v>
          </cell>
        </row>
        <row r="110">
          <cell r="F110">
            <v>5003202</v>
          </cell>
        </row>
        <row r="111">
          <cell r="F111">
            <v>5001121</v>
          </cell>
        </row>
        <row r="112">
          <cell r="F112">
            <v>5001111</v>
          </cell>
        </row>
        <row r="113">
          <cell r="F113">
            <v>5001141</v>
          </cell>
        </row>
        <row r="114">
          <cell r="F114">
            <v>5003141</v>
          </cell>
        </row>
        <row r="115">
          <cell r="F115">
            <v>5001155</v>
          </cell>
        </row>
        <row r="116">
          <cell r="F116">
            <v>5001156</v>
          </cell>
        </row>
        <row r="117">
          <cell r="F117">
            <v>5001157</v>
          </cell>
        </row>
        <row r="118">
          <cell r="F118">
            <v>5001158</v>
          </cell>
        </row>
        <row r="119">
          <cell r="F119">
            <v>5001161</v>
          </cell>
        </row>
        <row r="120">
          <cell r="F120">
            <v>5001200</v>
          </cell>
        </row>
        <row r="121">
          <cell r="F121">
            <v>5001171</v>
          </cell>
        </row>
        <row r="122">
          <cell r="F122">
            <v>5095140</v>
          </cell>
        </row>
        <row r="123">
          <cell r="F123">
            <v>5095141</v>
          </cell>
        </row>
        <row r="124">
          <cell r="F124">
            <v>5010111</v>
          </cell>
        </row>
        <row r="125">
          <cell r="F125">
            <v>5095150</v>
          </cell>
        </row>
        <row r="126">
          <cell r="F126">
            <v>5095151</v>
          </cell>
        </row>
        <row r="127">
          <cell r="F127">
            <v>5040001</v>
          </cell>
        </row>
        <row r="128">
          <cell r="F128">
            <v>5040012</v>
          </cell>
        </row>
        <row r="129">
          <cell r="F129">
            <v>5003171</v>
          </cell>
        </row>
        <row r="130">
          <cell r="F130">
            <v>5040011</v>
          </cell>
        </row>
        <row r="131">
          <cell r="F131">
            <v>5040036</v>
          </cell>
        </row>
        <row r="132">
          <cell r="F132">
            <v>5095160</v>
          </cell>
        </row>
        <row r="133">
          <cell r="F133">
            <v>5095161</v>
          </cell>
        </row>
        <row r="134">
          <cell r="F134">
            <v>5030230</v>
          </cell>
        </row>
        <row r="135">
          <cell r="F135">
            <v>5040051</v>
          </cell>
        </row>
        <row r="136">
          <cell r="F136">
            <v>5095170</v>
          </cell>
        </row>
        <row r="137">
          <cell r="F137">
            <v>5010101</v>
          </cell>
        </row>
        <row r="138">
          <cell r="F138">
            <v>5010102</v>
          </cell>
        </row>
        <row r="139">
          <cell r="F139">
            <v>5040041</v>
          </cell>
        </row>
        <row r="140">
          <cell r="F140">
            <v>5040031</v>
          </cell>
        </row>
        <row r="141">
          <cell r="F141">
            <v>5095171</v>
          </cell>
        </row>
        <row r="142">
          <cell r="F142">
            <v>5095180</v>
          </cell>
        </row>
        <row r="143">
          <cell r="F143">
            <v>5095181</v>
          </cell>
        </row>
        <row r="144">
          <cell r="F144">
            <v>5097000</v>
          </cell>
        </row>
        <row r="145">
          <cell r="F145">
            <v>5097010</v>
          </cell>
        </row>
        <row r="146">
          <cell r="F146">
            <v>5097020</v>
          </cell>
        </row>
        <row r="147">
          <cell r="F147">
            <v>5097030</v>
          </cell>
        </row>
        <row r="148">
          <cell r="F148">
            <v>5003162</v>
          </cell>
        </row>
        <row r="149">
          <cell r="F149">
            <v>5006081</v>
          </cell>
        </row>
        <row r="150">
          <cell r="F150">
            <v>5040021</v>
          </cell>
        </row>
        <row r="151">
          <cell r="F151">
            <v>5040060</v>
          </cell>
        </row>
        <row r="152">
          <cell r="F152">
            <v>5006071</v>
          </cell>
        </row>
        <row r="153">
          <cell r="F153">
            <v>5097040</v>
          </cell>
        </row>
        <row r="154">
          <cell r="F154">
            <v>5097050</v>
          </cell>
        </row>
        <row r="155">
          <cell r="F155">
            <v>5097060</v>
          </cell>
        </row>
        <row r="156">
          <cell r="F156">
            <v>5097070</v>
          </cell>
        </row>
        <row r="157">
          <cell r="F157">
            <v>5006074</v>
          </cell>
        </row>
        <row r="158">
          <cell r="F158">
            <v>5006072</v>
          </cell>
        </row>
        <row r="159">
          <cell r="F159">
            <v>5006062</v>
          </cell>
        </row>
        <row r="160">
          <cell r="F160">
            <v>5040070</v>
          </cell>
        </row>
        <row r="161">
          <cell r="F161">
            <v>5070071</v>
          </cell>
        </row>
        <row r="162">
          <cell r="F162">
            <v>5000101</v>
          </cell>
        </row>
        <row r="163">
          <cell r="F163">
            <v>5097080</v>
          </cell>
        </row>
        <row r="165">
          <cell r="F165">
            <v>5097100</v>
          </cell>
        </row>
        <row r="166">
          <cell r="F166">
            <v>5097090</v>
          </cell>
        </row>
        <row r="167">
          <cell r="F167">
            <v>5097110</v>
          </cell>
        </row>
        <row r="168">
          <cell r="F168">
            <v>5097120</v>
          </cell>
        </row>
        <row r="170">
          <cell r="F170">
            <v>5097130</v>
          </cell>
        </row>
        <row r="171">
          <cell r="F171">
            <v>5097140</v>
          </cell>
        </row>
        <row r="172">
          <cell r="F172">
            <v>7097150</v>
          </cell>
        </row>
        <row r="173">
          <cell r="F173">
            <v>5097160</v>
          </cell>
        </row>
        <row r="174">
          <cell r="F174">
            <v>5097170</v>
          </cell>
        </row>
        <row r="175">
          <cell r="F175">
            <v>5097180</v>
          </cell>
        </row>
        <row r="176">
          <cell r="F176">
            <v>5097190</v>
          </cell>
        </row>
        <row r="177">
          <cell r="F177">
            <v>5070000</v>
          </cell>
        </row>
        <row r="178">
          <cell r="F178">
            <v>5070001</v>
          </cell>
        </row>
        <row r="180">
          <cell r="F180">
            <v>5070010</v>
          </cell>
        </row>
        <row r="181">
          <cell r="F181">
            <v>5070011</v>
          </cell>
        </row>
        <row r="182">
          <cell r="F182">
            <v>5070020</v>
          </cell>
        </row>
        <row r="183">
          <cell r="F183">
            <v>5070021</v>
          </cell>
        </row>
        <row r="184">
          <cell r="F184">
            <v>5070060</v>
          </cell>
        </row>
        <row r="185">
          <cell r="F185">
            <v>5070061</v>
          </cell>
        </row>
        <row r="186">
          <cell r="F186">
            <v>5070085</v>
          </cell>
        </row>
        <row r="187">
          <cell r="F187">
            <v>5070086</v>
          </cell>
        </row>
        <row r="188">
          <cell r="F188">
            <v>5080001</v>
          </cell>
        </row>
        <row r="189">
          <cell r="F189">
            <v>5080011</v>
          </cell>
        </row>
        <row r="190">
          <cell r="E190" t="str">
            <v>Access Fees</v>
          </cell>
          <cell r="F190">
            <v>5030310</v>
          </cell>
          <cell r="G190" t="str">
            <v>Access fees Bus</v>
          </cell>
          <cell r="H190">
            <v>8455039.3900000006</v>
          </cell>
        </row>
        <row r="191">
          <cell r="E191" t="str">
            <v>Access Fees</v>
          </cell>
          <cell r="F191">
            <v>5030320</v>
          </cell>
          <cell r="G191" t="str">
            <v>Credits &amp; Disc VBC</v>
          </cell>
          <cell r="H191">
            <v>-4988414.12</v>
          </cell>
        </row>
        <row r="192">
          <cell r="E192" t="str">
            <v>Other Voice</v>
          </cell>
          <cell r="F192">
            <v>5030160</v>
          </cell>
          <cell r="G192" t="str">
            <v>VAS Premium VBC</v>
          </cell>
          <cell r="H192">
            <v>100291.74</v>
          </cell>
        </row>
        <row r="193">
          <cell r="E193" t="str">
            <v>Other Voice</v>
          </cell>
          <cell r="F193">
            <v>5030170</v>
          </cell>
          <cell r="G193" t="str">
            <v>VAS Freephone VBC</v>
          </cell>
          <cell r="H193">
            <v>-1809.54</v>
          </cell>
        </row>
        <row r="194">
          <cell r="E194" t="str">
            <v>Other Voice</v>
          </cell>
          <cell r="F194">
            <v>5030410</v>
          </cell>
          <cell r="G194" t="str">
            <v>VAS DQ VBC Bus</v>
          </cell>
          <cell r="H194">
            <v>257228.33</v>
          </cell>
        </row>
        <row r="195">
          <cell r="E195" t="str">
            <v>Other Voice</v>
          </cell>
          <cell r="F195">
            <v>5030420</v>
          </cell>
          <cell r="G195" t="str">
            <v>VAS IDQ Bus</v>
          </cell>
          <cell r="H195">
            <v>808.25</v>
          </cell>
        </row>
        <row r="196">
          <cell r="E196" t="str">
            <v>Other Voice</v>
          </cell>
          <cell r="F196">
            <v>5030470</v>
          </cell>
          <cell r="G196" t="str">
            <v>VAS Unified Mesg Cor</v>
          </cell>
          <cell r="H196">
            <v>777.99</v>
          </cell>
        </row>
        <row r="197">
          <cell r="E197" t="str">
            <v>Other Voice</v>
          </cell>
          <cell r="F197">
            <v>5030460</v>
          </cell>
          <cell r="G197" t="str">
            <v>VAS Wildfire Bus</v>
          </cell>
          <cell r="H197">
            <v>205.95</v>
          </cell>
        </row>
        <row r="198">
          <cell r="E198" t="str">
            <v>Other Voice</v>
          </cell>
          <cell r="F198">
            <v>5030440</v>
          </cell>
          <cell r="G198" t="str">
            <v>VAS Answerfax Bus</v>
          </cell>
          <cell r="H198">
            <v>328.66</v>
          </cell>
        </row>
        <row r="199">
          <cell r="E199" t="str">
            <v>Other Voice</v>
          </cell>
          <cell r="F199">
            <v>5030450</v>
          </cell>
          <cell r="G199" t="str">
            <v>VAS Orange Asst Bus</v>
          </cell>
          <cell r="H199">
            <v>0</v>
          </cell>
        </row>
        <row r="200">
          <cell r="E200" t="str">
            <v>Voice Idd</v>
          </cell>
          <cell r="F200">
            <v>5030110</v>
          </cell>
          <cell r="G200" t="str">
            <v>OG Internationl VBC</v>
          </cell>
          <cell r="H200">
            <v>601595.73</v>
          </cell>
        </row>
        <row r="201">
          <cell r="E201" t="str">
            <v>Core Voice fixed</v>
          </cell>
          <cell r="F201">
            <v>5030100</v>
          </cell>
          <cell r="G201" t="str">
            <v>OG Fixed line VBC</v>
          </cell>
          <cell r="H201">
            <v>3601514.46</v>
          </cell>
        </row>
        <row r="202">
          <cell r="E202" t="str">
            <v>Core Voice On Net</v>
          </cell>
          <cell r="F202">
            <v>5030140</v>
          </cell>
          <cell r="G202" t="str">
            <v>OG On-net mob VBC</v>
          </cell>
          <cell r="H202">
            <v>2964621.3</v>
          </cell>
        </row>
        <row r="203">
          <cell r="E203" t="str">
            <v>Core Voice On Net</v>
          </cell>
          <cell r="F203">
            <v>5030430</v>
          </cell>
          <cell r="G203" t="str">
            <v>VAS Answerphone Bus</v>
          </cell>
          <cell r="H203">
            <v>87299.94</v>
          </cell>
        </row>
        <row r="204">
          <cell r="E204" t="str">
            <v>Core Voice Off Net</v>
          </cell>
          <cell r="F204">
            <v>5030150</v>
          </cell>
          <cell r="G204" t="str">
            <v>OG Off-net mob VBC</v>
          </cell>
          <cell r="H204">
            <v>591511.62</v>
          </cell>
        </row>
        <row r="205">
          <cell r="E205" t="str">
            <v>Core Voice Off Net</v>
          </cell>
          <cell r="F205">
            <v>5030151</v>
          </cell>
          <cell r="G205" t="str">
            <v>OG Offnet Cellnt Bus</v>
          </cell>
          <cell r="H205">
            <v>1605501.64</v>
          </cell>
        </row>
        <row r="206">
          <cell r="E206" t="str">
            <v>Core Voice Off Net</v>
          </cell>
          <cell r="F206">
            <v>5030152</v>
          </cell>
          <cell r="G206" t="str">
            <v>OG Offnet VodaFn Bus</v>
          </cell>
          <cell r="H206">
            <v>1912599.18</v>
          </cell>
        </row>
        <row r="207">
          <cell r="E207" t="str">
            <v>Core Voice Off Net</v>
          </cell>
          <cell r="F207">
            <v>5030153</v>
          </cell>
          <cell r="G207" t="str">
            <v>OG Offnet O2O Bus</v>
          </cell>
          <cell r="H207">
            <v>1068556.78</v>
          </cell>
        </row>
        <row r="208">
          <cell r="E208" t="str">
            <v>Core Voice Off Net</v>
          </cell>
          <cell r="F208">
            <v>5030199</v>
          </cell>
          <cell r="G208" t="str">
            <v>Unalloc Outgoing VBC</v>
          </cell>
          <cell r="H208">
            <v>12807.12</v>
          </cell>
        </row>
        <row r="209">
          <cell r="E209" t="str">
            <v>Fraud Revenue</v>
          </cell>
          <cell r="F209">
            <v>5001033</v>
          </cell>
          <cell r="G209" t="str">
            <v>Fraud Bus Sol</v>
          </cell>
          <cell r="H209">
            <v>-5349.32</v>
          </cell>
        </row>
        <row r="210">
          <cell r="E210" t="str">
            <v>Care Revenue</v>
          </cell>
          <cell r="F210">
            <v>5080021</v>
          </cell>
          <cell r="G210" t="str">
            <v>Insurance Revenue BS</v>
          </cell>
          <cell r="H210">
            <v>0</v>
          </cell>
        </row>
        <row r="211">
          <cell r="E211" t="str">
            <v>Voice Roaming</v>
          </cell>
          <cell r="F211">
            <v>5030130</v>
          </cell>
          <cell r="G211" t="str">
            <v>OG Roam Mob Term VBC</v>
          </cell>
          <cell r="H211">
            <v>671653.45</v>
          </cell>
        </row>
        <row r="212">
          <cell r="E212" t="str">
            <v>Voice Incoming</v>
          </cell>
          <cell r="F212">
            <v>5030200</v>
          </cell>
          <cell r="G212" t="str">
            <v>I/CRev(exclSMS)Busso</v>
          </cell>
          <cell r="H212">
            <v>5597331</v>
          </cell>
        </row>
        <row r="213">
          <cell r="E213" t="str">
            <v>VIR</v>
          </cell>
          <cell r="F213">
            <v>5080031</v>
          </cell>
          <cell r="G213" t="str">
            <v xml:space="preserve"> INTERC Roaming SB</v>
          </cell>
          <cell r="H213">
            <v>0</v>
          </cell>
        </row>
        <row r="214">
          <cell r="E214" t="str">
            <v>SMS Outgoing</v>
          </cell>
          <cell r="F214">
            <v>5060000</v>
          </cell>
          <cell r="G214" t="str">
            <v>VAS SMS Off-net DBC</v>
          </cell>
          <cell r="H214">
            <v>413048.25</v>
          </cell>
        </row>
        <row r="215">
          <cell r="E215" t="str">
            <v>SMS Outgoing</v>
          </cell>
          <cell r="F215">
            <v>5060011</v>
          </cell>
          <cell r="G215" t="str">
            <v>SMS CHAT - BS</v>
          </cell>
          <cell r="H215">
            <v>0</v>
          </cell>
        </row>
        <row r="216">
          <cell r="E216" t="str">
            <v>SMS Outgoing</v>
          </cell>
          <cell r="F216">
            <v>5060010</v>
          </cell>
          <cell r="G216" t="str">
            <v>VAS SMS On-net DBC</v>
          </cell>
          <cell r="H216">
            <v>343205.05</v>
          </cell>
        </row>
        <row r="217">
          <cell r="E217" t="str">
            <v>SMS Roaming</v>
          </cell>
          <cell r="F217">
            <v>5000103</v>
          </cell>
          <cell r="G217" t="str">
            <v>SMS Orig Roaming DBC</v>
          </cell>
          <cell r="H217">
            <v>118718.68</v>
          </cell>
        </row>
        <row r="218">
          <cell r="E218" t="str">
            <v>SMS Roaming</v>
          </cell>
          <cell r="F218">
            <v>5060035</v>
          </cell>
          <cell r="G218" t="str">
            <v>SMS Orig Roaming DBC</v>
          </cell>
          <cell r="H218">
            <v>0</v>
          </cell>
        </row>
        <row r="219">
          <cell r="E219" t="str">
            <v>SMS IDD</v>
          </cell>
          <cell r="F219">
            <v>5080051</v>
          </cell>
          <cell r="G219" t="str">
            <v>SMS IDD BS</v>
          </cell>
          <cell r="H219">
            <v>0</v>
          </cell>
        </row>
        <row r="220">
          <cell r="E220" t="str">
            <v>SMS Incoming</v>
          </cell>
          <cell r="F220">
            <v>5030220</v>
          </cell>
          <cell r="G220" t="str">
            <v>I/C Nat.SMSRevBussol</v>
          </cell>
          <cell r="H220">
            <v>243578</v>
          </cell>
        </row>
        <row r="221">
          <cell r="E221" t="str">
            <v>MMS Incoming</v>
          </cell>
          <cell r="G221" t="str">
            <v>MMS Incoming BS</v>
          </cell>
          <cell r="H221">
            <v>0</v>
          </cell>
        </row>
        <row r="222">
          <cell r="E222" t="str">
            <v>MMS Outgoing</v>
          </cell>
          <cell r="F222">
            <v>5060040</v>
          </cell>
          <cell r="G222" t="str">
            <v>VAS MMS Corporate</v>
          </cell>
          <cell r="H222">
            <v>10952.02</v>
          </cell>
        </row>
        <row r="223">
          <cell r="E223" t="str">
            <v>HSCSD</v>
          </cell>
          <cell r="F223">
            <v>5080061</v>
          </cell>
          <cell r="G223" t="str">
            <v>HSCSD SB</v>
          </cell>
          <cell r="H223">
            <v>0</v>
          </cell>
        </row>
        <row r="224">
          <cell r="E224" t="str">
            <v>GPRS</v>
          </cell>
          <cell r="F224">
            <v>5030120</v>
          </cell>
          <cell r="G224" t="str">
            <v>OG Rmg mob orig VBC</v>
          </cell>
          <cell r="H224">
            <v>3908625.39</v>
          </cell>
        </row>
        <row r="225">
          <cell r="E225" t="str">
            <v>GPRS</v>
          </cell>
          <cell r="F225">
            <v>5030121</v>
          </cell>
          <cell r="G225" t="str">
            <v>OG Roam orig VBC</v>
          </cell>
          <cell r="H225">
            <v>39948.44</v>
          </cell>
        </row>
        <row r="226">
          <cell r="E226" t="str">
            <v>GPRS</v>
          </cell>
          <cell r="F226">
            <v>5060060</v>
          </cell>
          <cell r="G226" t="str">
            <v>GPRS Corporate</v>
          </cell>
          <cell r="H226">
            <v>261329.22</v>
          </cell>
        </row>
        <row r="227">
          <cell r="E227" t="str">
            <v>WAP</v>
          </cell>
          <cell r="F227">
            <v>5060030</v>
          </cell>
          <cell r="G227" t="str">
            <v>2G WAP DBC</v>
          </cell>
          <cell r="H227">
            <v>24970.23</v>
          </cell>
        </row>
        <row r="228">
          <cell r="E228" t="str">
            <v>CSD</v>
          </cell>
          <cell r="F228">
            <v>5080080</v>
          </cell>
          <cell r="G228" t="str">
            <v>CSD Business Solutions</v>
          </cell>
          <cell r="H228">
            <v>0</v>
          </cell>
        </row>
        <row r="229">
          <cell r="E229" t="str">
            <v>3G Revenue</v>
          </cell>
          <cell r="F229">
            <v>5090020</v>
          </cell>
          <cell r="G229" t="str">
            <v>3G Revenue BS</v>
          </cell>
          <cell r="H229">
            <v>0</v>
          </cell>
        </row>
        <row r="230">
          <cell r="E230" t="str">
            <v>Business LAN</v>
          </cell>
          <cell r="F230">
            <v>5090030</v>
          </cell>
          <cell r="G230" t="str">
            <v>Business LAN BS</v>
          </cell>
          <cell r="H230">
            <v>0</v>
          </cell>
        </row>
        <row r="231">
          <cell r="E231" t="str">
            <v>Internet Link</v>
          </cell>
          <cell r="F231">
            <v>5050081</v>
          </cell>
          <cell r="G231" t="str">
            <v>Internet Link BS</v>
          </cell>
          <cell r="H231">
            <v>0</v>
          </cell>
        </row>
        <row r="232">
          <cell r="E232" t="str">
            <v>MOC 2G</v>
          </cell>
          <cell r="F232">
            <v>5050011</v>
          </cell>
          <cell r="G232" t="str">
            <v>MOC 2G BS</v>
          </cell>
          <cell r="H232">
            <v>0</v>
          </cell>
        </row>
        <row r="233">
          <cell r="E233" t="str">
            <v>MOC 3G</v>
          </cell>
          <cell r="F233">
            <v>5050021</v>
          </cell>
          <cell r="G233" t="str">
            <v>MOC 3G BS</v>
          </cell>
          <cell r="H233">
            <v>0</v>
          </cell>
        </row>
        <row r="234">
          <cell r="E234" t="str">
            <v>Other GPRS Access</v>
          </cell>
          <cell r="F234">
            <v>5050031</v>
          </cell>
          <cell r="G234" t="str">
            <v>Other GPRS Access BS</v>
          </cell>
          <cell r="H234">
            <v>0</v>
          </cell>
        </row>
        <row r="235">
          <cell r="E235" t="str">
            <v>Voice Media</v>
          </cell>
          <cell r="F235">
            <v>5090050</v>
          </cell>
          <cell r="G235" t="str">
            <v>VAS Info srv Vce CBC</v>
          </cell>
          <cell r="H235">
            <v>55388.83</v>
          </cell>
        </row>
        <row r="236">
          <cell r="E236" t="str">
            <v>Voice Media</v>
          </cell>
          <cell r="F236">
            <v>5090027</v>
          </cell>
          <cell r="G236" t="str">
            <v>Content Dload CBC BS</v>
          </cell>
          <cell r="H236">
            <v>21355.4</v>
          </cell>
        </row>
        <row r="237">
          <cell r="E237" t="str">
            <v>Text Media</v>
          </cell>
          <cell r="F237">
            <v>5060020</v>
          </cell>
          <cell r="G237" t="str">
            <v>VAS Info serv tx DBC</v>
          </cell>
          <cell r="H237">
            <v>68097.100000000006</v>
          </cell>
        </row>
        <row r="238">
          <cell r="E238" t="str">
            <v>MMS Media</v>
          </cell>
          <cell r="F238">
            <v>5060050</v>
          </cell>
          <cell r="G238" t="str">
            <v>MMS Content Corp</v>
          </cell>
          <cell r="H238">
            <v>1256.6600000000001</v>
          </cell>
        </row>
        <row r="239">
          <cell r="E239" t="str">
            <v>Downloads</v>
          </cell>
          <cell r="F239">
            <v>5090000</v>
          </cell>
          <cell r="G239" t="str">
            <v>Content 1 CBC</v>
          </cell>
          <cell r="H239">
            <v>8.51</v>
          </cell>
        </row>
        <row r="240">
          <cell r="E240" t="str">
            <v>OBTM</v>
          </cell>
          <cell r="F240">
            <v>5050036</v>
          </cell>
          <cell r="G240" t="str">
            <v>OBTM BS</v>
          </cell>
          <cell r="H240">
            <v>0</v>
          </cell>
        </row>
        <row r="241">
          <cell r="E241" t="str">
            <v>Solutions</v>
          </cell>
          <cell r="F241">
            <v>5050041</v>
          </cell>
          <cell r="G241" t="str">
            <v>Solutions BS</v>
          </cell>
          <cell r="H241">
            <v>0</v>
          </cell>
        </row>
        <row r="242">
          <cell r="E242" t="str">
            <v>Energis</v>
          </cell>
          <cell r="F242">
            <v>5050051</v>
          </cell>
          <cell r="G242" t="str">
            <v>Energis BS</v>
          </cell>
          <cell r="H242">
            <v>0</v>
          </cell>
        </row>
        <row r="243">
          <cell r="E243" t="str">
            <v>Video Messaging</v>
          </cell>
          <cell r="F243">
            <v>5050061</v>
          </cell>
          <cell r="G243" t="str">
            <v>Other Comminication BS</v>
          </cell>
          <cell r="H243">
            <v>0</v>
          </cell>
        </row>
        <row r="244">
          <cell r="E244" t="str">
            <v>3rd Party</v>
          </cell>
          <cell r="F244">
            <v>5006077</v>
          </cell>
          <cell r="G244" t="str">
            <v>Third Party MMS BS</v>
          </cell>
          <cell r="H244">
            <v>0</v>
          </cell>
        </row>
        <row r="245">
          <cell r="E245" t="str">
            <v>3rd Party</v>
          </cell>
          <cell r="F245">
            <v>5006075</v>
          </cell>
          <cell r="G245" t="str">
            <v>Third Party Voice BS</v>
          </cell>
          <cell r="H245">
            <v>1799.78</v>
          </cell>
        </row>
        <row r="246">
          <cell r="E246" t="str">
            <v>3rd Party</v>
          </cell>
          <cell r="F246">
            <v>5090025</v>
          </cell>
          <cell r="G246" t="str">
            <v>Content Rev shre CBC</v>
          </cell>
          <cell r="H246">
            <v>224870.14</v>
          </cell>
        </row>
        <row r="247">
          <cell r="E247" t="str">
            <v>Content Adj</v>
          </cell>
          <cell r="F247">
            <v>5090010</v>
          </cell>
          <cell r="G247" t="str">
            <v>VAS Ringtones Corp</v>
          </cell>
          <cell r="H247">
            <v>0</v>
          </cell>
        </row>
        <row r="248">
          <cell r="E248" t="str">
            <v>Content Adj</v>
          </cell>
          <cell r="F248">
            <v>5090070</v>
          </cell>
          <cell r="G248" t="str">
            <v>SMS Games CBC</v>
          </cell>
          <cell r="H248">
            <v>26.01</v>
          </cell>
        </row>
        <row r="249">
          <cell r="E249" t="str">
            <v>Content Adj</v>
          </cell>
          <cell r="F249">
            <v>5060080</v>
          </cell>
          <cell r="G249" t="str">
            <v>Data DBC</v>
          </cell>
          <cell r="H249">
            <v>479540</v>
          </cell>
        </row>
        <row r="250">
          <cell r="E250" t="str">
            <v>Connection Fees</v>
          </cell>
          <cell r="F250">
            <v>5030000</v>
          </cell>
          <cell r="G250" t="str">
            <v>Connection rev VBC</v>
          </cell>
          <cell r="H250">
            <v>-2713.24</v>
          </cell>
        </row>
        <row r="251">
          <cell r="E251" t="str">
            <v>Telemetry</v>
          </cell>
          <cell r="F251">
            <v>5006005</v>
          </cell>
          <cell r="G251" t="str">
            <v>HVBMS</v>
          </cell>
          <cell r="H251">
            <v>63582.44</v>
          </cell>
        </row>
        <row r="252">
          <cell r="E252" t="str">
            <v>Telemetry</v>
          </cell>
          <cell r="F252">
            <v>5006000</v>
          </cell>
          <cell r="G252" t="str">
            <v>Telemetry NCO</v>
          </cell>
          <cell r="H252">
            <v>45887.44</v>
          </cell>
        </row>
      </sheetData>
      <sheetData sheetId="2"/>
      <sheetData sheetId="3" refreshError="1"/>
      <sheetData sheetId="4"/>
      <sheetData sheetId="5"/>
      <sheetData sheetId="6">
        <row r="2">
          <cell r="F2">
            <v>5002110</v>
          </cell>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ata"/>
      <sheetName val="Jun 1.0"/>
      <sheetName val="Jun 1.1"/>
      <sheetName val="Jun 1.2"/>
      <sheetName val="Jun 1.3"/>
      <sheetName val="Jun 1.4"/>
      <sheetName val="Jun 1.5"/>
      <sheetName val="Jun 1.6"/>
      <sheetName val="Jun 1.7"/>
      <sheetName val="YTD"/>
      <sheetName val="Month"/>
      <sheetName val="Summary OHUK"/>
      <sheetName val="Summary CON"/>
      <sheetName val="Summary SB"/>
      <sheetName val="Summary BS"/>
      <sheetName val="Summary Operator"/>
      <sheetName val="Essbase"/>
      <sheetName val="Enviornment"/>
    </sheetNames>
    <sheetDataSet>
      <sheetData sheetId="0">
        <row r="4">
          <cell r="O4" t="str">
            <v>DRCR</v>
          </cell>
          <cell r="R4" t="str">
            <v>OPCS (Carat Accounts Format)</v>
          </cell>
        </row>
        <row r="5">
          <cell r="O5" t="str">
            <v>OPCS</v>
          </cell>
          <cell r="R5" t="str">
            <v>Orange PCS</v>
          </cell>
        </row>
        <row r="6">
          <cell r="O6" t="str">
            <v>****</v>
          </cell>
        </row>
        <row r="8">
          <cell r="S8" t="str">
            <v xml:space="preserve">         Report.period</v>
          </cell>
        </row>
        <row r="9">
          <cell r="S9" t="str">
            <v xml:space="preserve">      (06.2005-06.2005)</v>
          </cell>
        </row>
        <row r="11">
          <cell r="S11">
            <v>-349510699.06999999</v>
          </cell>
        </row>
        <row r="12">
          <cell r="S12">
            <v>-324400509.57999998</v>
          </cell>
        </row>
        <row r="13">
          <cell r="S13">
            <v>-292758102.92000002</v>
          </cell>
        </row>
        <row r="14">
          <cell r="S14">
            <v>-257844351.02000001</v>
          </cell>
        </row>
        <row r="15">
          <cell r="S15">
            <v>-170459442.69999999</v>
          </cell>
        </row>
        <row r="16">
          <cell r="S16">
            <v>-142562771.19</v>
          </cell>
        </row>
        <row r="17">
          <cell r="S17">
            <v>-76183294.409999996</v>
          </cell>
        </row>
        <row r="18">
          <cell r="S18">
            <v>-76183294.409999996</v>
          </cell>
        </row>
        <row r="19">
          <cell r="L19">
            <v>5002110</v>
          </cell>
          <cell r="Q19" t="str">
            <v>Access Fees Cons</v>
          </cell>
          <cell r="S19">
            <v>-78051926.280000001</v>
          </cell>
        </row>
        <row r="20">
          <cell r="L20">
            <v>5002120</v>
          </cell>
          <cell r="Q20" t="str">
            <v>Credits &amp; Disc VCC</v>
          </cell>
          <cell r="S20">
            <v>1858904.8</v>
          </cell>
        </row>
        <row r="21">
          <cell r="L21">
            <v>5002122</v>
          </cell>
          <cell r="Q21" t="str">
            <v>Airtime Credits SAP</v>
          </cell>
          <cell r="S21">
            <v>9578.18</v>
          </cell>
        </row>
        <row r="22">
          <cell r="L22">
            <v>5003210</v>
          </cell>
          <cell r="Q22" t="str">
            <v>Revenue - Vouchers</v>
          </cell>
          <cell r="S22">
            <v>148.88999999999999</v>
          </cell>
        </row>
        <row r="23">
          <cell r="S23">
            <v>-31984540.170000002</v>
          </cell>
        </row>
        <row r="24">
          <cell r="S24">
            <v>-3247305.27</v>
          </cell>
        </row>
        <row r="25">
          <cell r="L25">
            <v>5000102</v>
          </cell>
          <cell r="Q25" t="str">
            <v>Unallocated Outgoing</v>
          </cell>
          <cell r="S25">
            <v>-143440.32999999999</v>
          </cell>
        </row>
        <row r="26">
          <cell r="L26">
            <v>5001160</v>
          </cell>
          <cell r="Q26" t="str">
            <v>OG Premium Cons</v>
          </cell>
          <cell r="S26">
            <v>-1956930.45</v>
          </cell>
        </row>
        <row r="27">
          <cell r="L27">
            <v>5001170</v>
          </cell>
          <cell r="Q27" t="str">
            <v>OG Freephone VCC</v>
          </cell>
          <cell r="S27">
            <v>-42474.73</v>
          </cell>
        </row>
        <row r="28">
          <cell r="L28">
            <v>5002064</v>
          </cell>
          <cell r="Q28" t="str">
            <v>VAS unified msg Con</v>
          </cell>
          <cell r="S28">
            <v>-3116.98</v>
          </cell>
        </row>
        <row r="29">
          <cell r="L29">
            <v>5003110</v>
          </cell>
          <cell r="Q29" t="str">
            <v>VAS DQ Cons</v>
          </cell>
          <cell r="S29">
            <v>-1090965.22</v>
          </cell>
        </row>
        <row r="30">
          <cell r="L30">
            <v>5003120</v>
          </cell>
          <cell r="Q30" t="str">
            <v>VAS IDQ Cons</v>
          </cell>
          <cell r="S30">
            <v>-5139.6099999999997</v>
          </cell>
        </row>
        <row r="31">
          <cell r="L31">
            <v>5003158</v>
          </cell>
          <cell r="Q31" t="str">
            <v>Video Consumer</v>
          </cell>
          <cell r="S31">
            <v>-4500</v>
          </cell>
        </row>
        <row r="32">
          <cell r="L32">
            <v>5003160</v>
          </cell>
          <cell r="Q32" t="str">
            <v>VAS Answerfax Cons</v>
          </cell>
          <cell r="S32">
            <v>-679.68</v>
          </cell>
        </row>
        <row r="33">
          <cell r="L33">
            <v>5003200</v>
          </cell>
          <cell r="Q33" t="str">
            <v>VAS Wildfire Cons</v>
          </cell>
          <cell r="S33">
            <v>-58.27</v>
          </cell>
        </row>
        <row r="34">
          <cell r="S34">
            <v>-2696681.93</v>
          </cell>
        </row>
        <row r="35">
          <cell r="L35">
            <v>5001120</v>
          </cell>
          <cell r="Q35" t="str">
            <v>OG International VCC</v>
          </cell>
          <cell r="S35">
            <v>-2696681.93</v>
          </cell>
        </row>
        <row r="36">
          <cell r="S36">
            <v>-234590.36</v>
          </cell>
        </row>
        <row r="37">
          <cell r="L37">
            <v>5003140</v>
          </cell>
          <cell r="Q37" t="str">
            <v>VAS Answerphone Cons</v>
          </cell>
          <cell r="S37">
            <v>-234590.36</v>
          </cell>
        </row>
        <row r="38">
          <cell r="S38">
            <v>-5459877.1299999999</v>
          </cell>
        </row>
        <row r="39">
          <cell r="L39">
            <v>5001110</v>
          </cell>
          <cell r="Q39" t="str">
            <v>OG Costed Call Cons</v>
          </cell>
          <cell r="S39">
            <v>-5459877.1299999999</v>
          </cell>
        </row>
        <row r="40">
          <cell r="S40">
            <v>-3890694</v>
          </cell>
        </row>
        <row r="41">
          <cell r="L41">
            <v>5001140</v>
          </cell>
          <cell r="Q41" t="str">
            <v>Og Onenet Cons</v>
          </cell>
          <cell r="S41">
            <v>-3890694</v>
          </cell>
        </row>
        <row r="42">
          <cell r="S42">
            <v>-14425202.85</v>
          </cell>
        </row>
        <row r="43">
          <cell r="L43">
            <v>5001150</v>
          </cell>
          <cell r="Q43" t="str">
            <v>OG Off-net mob VCC</v>
          </cell>
          <cell r="S43">
            <v>-1780139.45</v>
          </cell>
        </row>
        <row r="44">
          <cell r="L44">
            <v>5001151</v>
          </cell>
          <cell r="Q44" t="str">
            <v>OG Offnet Cellnt Con</v>
          </cell>
          <cell r="S44">
            <v>-4697839.37</v>
          </cell>
        </row>
        <row r="45">
          <cell r="L45">
            <v>5001152</v>
          </cell>
          <cell r="Q45" t="str">
            <v>OG Offnet VodaFn Con</v>
          </cell>
          <cell r="S45">
            <v>-4341955.38</v>
          </cell>
        </row>
        <row r="46">
          <cell r="L46">
            <v>5001153</v>
          </cell>
          <cell r="Q46" t="str">
            <v>OG Offnet O2O Cons</v>
          </cell>
          <cell r="S46">
            <v>-3605268.65</v>
          </cell>
        </row>
        <row r="47">
          <cell r="S47">
            <v>521550</v>
          </cell>
        </row>
        <row r="48">
          <cell r="L48">
            <v>5001032</v>
          </cell>
          <cell r="Q48" t="str">
            <v>Fraud Consumer</v>
          </cell>
          <cell r="S48">
            <v>521550</v>
          </cell>
        </row>
        <row r="49">
          <cell r="S49">
            <v>-2551738.63</v>
          </cell>
        </row>
        <row r="50">
          <cell r="L50">
            <v>5001039</v>
          </cell>
          <cell r="Q50" t="str">
            <v>Insurance Revenue</v>
          </cell>
          <cell r="S50">
            <v>-4610574.1900000004</v>
          </cell>
        </row>
        <row r="51">
          <cell r="L51">
            <v>5001041</v>
          </cell>
          <cell r="Q51" t="str">
            <v>Insurers Share</v>
          </cell>
          <cell r="S51">
            <v>2058835.56</v>
          </cell>
        </row>
        <row r="52">
          <cell r="S52">
            <v>-10872566.189999999</v>
          </cell>
        </row>
        <row r="53">
          <cell r="S53">
            <v>-10872566.189999999</v>
          </cell>
        </row>
        <row r="54">
          <cell r="L54">
            <v>5010100</v>
          </cell>
          <cell r="Q54" t="str">
            <v>RR-Con-PAYM-MOC</v>
          </cell>
          <cell r="S54">
            <v>-8952603.1400000006</v>
          </cell>
        </row>
        <row r="55">
          <cell r="L55">
            <v>5010110</v>
          </cell>
          <cell r="Q55" t="str">
            <v>RR-Con-PAYM-MTC</v>
          </cell>
          <cell r="S55">
            <v>-1919963.05</v>
          </cell>
        </row>
        <row r="56">
          <cell r="S56">
            <v>-23522370.420000002</v>
          </cell>
        </row>
        <row r="57">
          <cell r="S57">
            <v>-23522370.420000002</v>
          </cell>
        </row>
        <row r="58">
          <cell r="L58">
            <v>5001017</v>
          </cell>
          <cell r="Q58" t="str">
            <v>I/C MNP Revenue Con</v>
          </cell>
          <cell r="S58">
            <v>-1771013.46</v>
          </cell>
        </row>
        <row r="59">
          <cell r="L59">
            <v>5001022</v>
          </cell>
          <cell r="Q59" t="str">
            <v>I/C Int.Voice RevCon</v>
          </cell>
          <cell r="S59">
            <v>-3121663.8</v>
          </cell>
        </row>
        <row r="60">
          <cell r="L60">
            <v>5001027</v>
          </cell>
          <cell r="Q60" t="str">
            <v>I/C Nat.VoiceRev Con</v>
          </cell>
          <cell r="S60">
            <v>-45578137.109999999</v>
          </cell>
        </row>
        <row r="61">
          <cell r="L61">
            <v>5001047</v>
          </cell>
          <cell r="Q61" t="str">
            <v>I/CTrfBusSol(exclSMS</v>
          </cell>
          <cell r="S61">
            <v>27625581.25</v>
          </cell>
        </row>
        <row r="62">
          <cell r="L62">
            <v>5001049</v>
          </cell>
          <cell r="Q62" t="str">
            <v>I/C DCC Revenue Con</v>
          </cell>
          <cell r="S62">
            <v>-976403.3</v>
          </cell>
        </row>
        <row r="63">
          <cell r="L63">
            <v>5001051</v>
          </cell>
          <cell r="Q63" t="str">
            <v>I/C VIR &amp;Netting Adj</v>
          </cell>
          <cell r="S63">
            <v>299266</v>
          </cell>
        </row>
        <row r="64">
          <cell r="S64">
            <v>-20266596.629999999</v>
          </cell>
        </row>
        <row r="65">
          <cell r="S65">
            <v>-14863657.460000001</v>
          </cell>
        </row>
        <row r="66">
          <cell r="S66">
            <v>-12373461.23</v>
          </cell>
        </row>
        <row r="67">
          <cell r="L67">
            <v>5003130</v>
          </cell>
          <cell r="Q67" t="str">
            <v>VAS Messaging</v>
          </cell>
          <cell r="S67">
            <v>-1330.08</v>
          </cell>
        </row>
        <row r="68">
          <cell r="L68">
            <v>5040000</v>
          </cell>
          <cell r="Q68" t="str">
            <v>VAS SMS off-net DCC</v>
          </cell>
          <cell r="S68">
            <v>-5015342.33</v>
          </cell>
        </row>
        <row r="69">
          <cell r="L69">
            <v>5040002</v>
          </cell>
          <cell r="Q69" t="str">
            <v>SMS Bundles</v>
          </cell>
          <cell r="S69">
            <v>-4179236.62</v>
          </cell>
        </row>
        <row r="70">
          <cell r="L70">
            <v>5040010</v>
          </cell>
          <cell r="Q70" t="str">
            <v>VAS SMS On-net DCC</v>
          </cell>
          <cell r="S70">
            <v>-3177552.2</v>
          </cell>
        </row>
        <row r="71">
          <cell r="S71">
            <v>-1820571.23</v>
          </cell>
        </row>
        <row r="72">
          <cell r="L72">
            <v>5020122</v>
          </cell>
          <cell r="Q72" t="str">
            <v>RR-Con-PAYM-SMS</v>
          </cell>
          <cell r="S72">
            <v>-1820571.23</v>
          </cell>
        </row>
        <row r="73">
          <cell r="S73">
            <v>-669625</v>
          </cell>
        </row>
        <row r="74">
          <cell r="L74">
            <v>5090085</v>
          </cell>
          <cell r="Q74" t="str">
            <v>SMS-IDD-Rev-Con-PAYM</v>
          </cell>
          <cell r="S74">
            <v>-669625</v>
          </cell>
        </row>
        <row r="75">
          <cell r="S75">
            <v>-5402939.1699999999</v>
          </cell>
        </row>
        <row r="76">
          <cell r="S76">
            <v>-5402939.1699999999</v>
          </cell>
        </row>
        <row r="77">
          <cell r="L77">
            <v>5010220</v>
          </cell>
          <cell r="Q77" t="str">
            <v>I/C Nat.SMS Rev Con</v>
          </cell>
          <cell r="S77">
            <v>-11196853.48</v>
          </cell>
        </row>
        <row r="78">
          <cell r="L78">
            <v>5010223</v>
          </cell>
          <cell r="Q78" t="str">
            <v>I/C Trf SMS toBusSol</v>
          </cell>
          <cell r="S78">
            <v>5793914.3099999996</v>
          </cell>
        </row>
        <row r="79">
          <cell r="S79">
            <v>-1469433.71</v>
          </cell>
        </row>
        <row r="80">
          <cell r="S80">
            <v>-1469433.71</v>
          </cell>
        </row>
        <row r="81">
          <cell r="S81">
            <v>-1469433.71</v>
          </cell>
        </row>
        <row r="82">
          <cell r="L82">
            <v>5040022</v>
          </cell>
          <cell r="Q82" t="str">
            <v>VAS MMS Consumer</v>
          </cell>
          <cell r="S82">
            <v>-550891</v>
          </cell>
        </row>
        <row r="83">
          <cell r="L83">
            <v>5040023</v>
          </cell>
          <cell r="Q83" t="str">
            <v>MMS Bundles</v>
          </cell>
          <cell r="S83">
            <v>-918542.71</v>
          </cell>
        </row>
        <row r="84">
          <cell r="S84">
            <v>-3333064.98</v>
          </cell>
        </row>
        <row r="85">
          <cell r="S85">
            <v>-3333064.98</v>
          </cell>
        </row>
        <row r="86">
          <cell r="S86">
            <v>-26777.67</v>
          </cell>
        </row>
        <row r="87">
          <cell r="L87">
            <v>5095000</v>
          </cell>
          <cell r="Q87" t="str">
            <v>HSCSD Consumer</v>
          </cell>
          <cell r="S87">
            <v>-26777.67</v>
          </cell>
        </row>
        <row r="88">
          <cell r="S88">
            <v>-1179499.3700000001</v>
          </cell>
        </row>
        <row r="89">
          <cell r="L89">
            <v>5001130</v>
          </cell>
          <cell r="Q89" t="str">
            <v>RR-Con-PAYM-GPRS</v>
          </cell>
          <cell r="S89">
            <v>-176232.18</v>
          </cell>
        </row>
        <row r="90">
          <cell r="L90">
            <v>5001131</v>
          </cell>
          <cell r="Q90" t="str">
            <v>GPRS Bundles</v>
          </cell>
          <cell r="S90">
            <v>-669285.94999999995</v>
          </cell>
        </row>
        <row r="91">
          <cell r="L91">
            <v>5040040</v>
          </cell>
          <cell r="Q91" t="str">
            <v>GPRS Consumer</v>
          </cell>
          <cell r="S91">
            <v>-333981.24</v>
          </cell>
        </row>
        <row r="92">
          <cell r="S92">
            <v>-2021511.64</v>
          </cell>
        </row>
        <row r="93">
          <cell r="L93">
            <v>5040029</v>
          </cell>
          <cell r="Q93" t="str">
            <v>WAP Bundles</v>
          </cell>
          <cell r="S93">
            <v>-830708.27</v>
          </cell>
        </row>
        <row r="94">
          <cell r="L94">
            <v>5040030</v>
          </cell>
          <cell r="Q94" t="str">
            <v>2G WAP DCC</v>
          </cell>
          <cell r="S94">
            <v>-41803.370000000003</v>
          </cell>
        </row>
        <row r="95">
          <cell r="L95">
            <v>5040032</v>
          </cell>
          <cell r="Q95" t="str">
            <v>WAP GPRS Consumer</v>
          </cell>
          <cell r="S95">
            <v>-1149000</v>
          </cell>
        </row>
        <row r="96">
          <cell r="S96">
            <v>-8358.66</v>
          </cell>
        </row>
        <row r="97">
          <cell r="L97">
            <v>5095021</v>
          </cell>
          <cell r="Q97" t="str">
            <v>MOC 2G Consumer</v>
          </cell>
          <cell r="S97">
            <v>-8358.66</v>
          </cell>
        </row>
        <row r="98">
          <cell r="S98">
            <v>-96917.64</v>
          </cell>
        </row>
        <row r="99">
          <cell r="L99">
            <v>5095030</v>
          </cell>
          <cell r="Q99" t="str">
            <v>MOC 3G Consumer</v>
          </cell>
          <cell r="S99">
            <v>-96917.64</v>
          </cell>
        </row>
        <row r="100">
          <cell r="S100">
            <v>-321128.75</v>
          </cell>
        </row>
        <row r="101">
          <cell r="S101">
            <v>-321128.75</v>
          </cell>
        </row>
        <row r="102">
          <cell r="S102">
            <v>-29518.080000000002</v>
          </cell>
        </row>
        <row r="103">
          <cell r="L103">
            <v>5003150</v>
          </cell>
          <cell r="Q103" t="str">
            <v>VAS Info Lines CCC</v>
          </cell>
          <cell r="S103">
            <v>-29518.080000000002</v>
          </cell>
        </row>
        <row r="104">
          <cell r="S104">
            <v>-117602.5</v>
          </cell>
        </row>
        <row r="105">
          <cell r="L105">
            <v>5040020</v>
          </cell>
          <cell r="Q105" t="str">
            <v>VAS Info serv DCC</v>
          </cell>
          <cell r="S105">
            <v>-117602.5</v>
          </cell>
        </row>
        <row r="106">
          <cell r="S106">
            <v>-172569.97</v>
          </cell>
        </row>
        <row r="107">
          <cell r="L107">
            <v>5040061</v>
          </cell>
          <cell r="Q107" t="str">
            <v>MMS Content Consumer</v>
          </cell>
          <cell r="S107">
            <v>-172569.97</v>
          </cell>
        </row>
        <row r="108">
          <cell r="S108">
            <v>-1438.2</v>
          </cell>
        </row>
        <row r="109">
          <cell r="L109">
            <v>5006060</v>
          </cell>
          <cell r="Q109" t="str">
            <v>Content 1 CCC</v>
          </cell>
          <cell r="S109">
            <v>-1438.2</v>
          </cell>
        </row>
        <row r="110">
          <cell r="S110">
            <v>-2432644.1</v>
          </cell>
        </row>
        <row r="111">
          <cell r="S111">
            <v>-2432644.1</v>
          </cell>
        </row>
        <row r="112">
          <cell r="S112">
            <v>-2432623.87</v>
          </cell>
        </row>
        <row r="113">
          <cell r="L113">
            <v>5006061</v>
          </cell>
          <cell r="Q113" t="str">
            <v>Content Rev Shre CCC</v>
          </cell>
          <cell r="S113">
            <v>-5115912.57</v>
          </cell>
        </row>
        <row r="114">
          <cell r="L114">
            <v>5006063</v>
          </cell>
          <cell r="Q114" t="str">
            <v>Admin &amp; Conn Set Up</v>
          </cell>
          <cell r="S114">
            <v>-191813.07</v>
          </cell>
        </row>
        <row r="115">
          <cell r="L115">
            <v>5006069</v>
          </cell>
          <cell r="Q115" t="str">
            <v>3rd Party Nettin Cts</v>
          </cell>
          <cell r="S115">
            <v>4128168.74</v>
          </cell>
        </row>
        <row r="116">
          <cell r="L116">
            <v>5006076</v>
          </cell>
          <cell r="Q116" t="str">
            <v>Third Party Voice CC</v>
          </cell>
          <cell r="S116">
            <v>-86924</v>
          </cell>
        </row>
        <row r="117">
          <cell r="L117">
            <v>5006080</v>
          </cell>
          <cell r="Q117" t="str">
            <v>Content Dlod CCC CON</v>
          </cell>
          <cell r="S117">
            <v>-1166142.97</v>
          </cell>
        </row>
        <row r="118">
          <cell r="S118">
            <v>-20.23</v>
          </cell>
        </row>
        <row r="119">
          <cell r="L119">
            <v>5070070</v>
          </cell>
          <cell r="Q119" t="str">
            <v>SMS Games CCC</v>
          </cell>
          <cell r="S119">
            <v>-20.23</v>
          </cell>
        </row>
        <row r="120">
          <cell r="S120">
            <v>-73803.34</v>
          </cell>
        </row>
        <row r="121">
          <cell r="S121">
            <v>-73803.34</v>
          </cell>
        </row>
        <row r="122">
          <cell r="S122">
            <v>-73803.34</v>
          </cell>
        </row>
        <row r="123">
          <cell r="L123">
            <v>5000100</v>
          </cell>
          <cell r="Q123" t="str">
            <v>Connection Rev VCC</v>
          </cell>
          <cell r="S123">
            <v>-73803.34</v>
          </cell>
        </row>
        <row r="124">
          <cell r="S124">
            <v>-87384908.319999993</v>
          </cell>
        </row>
        <row r="125">
          <cell r="S125">
            <v>-60851529.549999997</v>
          </cell>
        </row>
        <row r="126">
          <cell r="S126">
            <v>-41531147.270000003</v>
          </cell>
        </row>
        <row r="127">
          <cell r="S127">
            <v>-1058520.31</v>
          </cell>
        </row>
        <row r="128">
          <cell r="L128">
            <v>5095011</v>
          </cell>
          <cell r="Q128" t="str">
            <v>Other Voice Con PAYG</v>
          </cell>
          <cell r="S128">
            <v>-1058520.31</v>
          </cell>
        </row>
        <row r="129">
          <cell r="S129">
            <v>-2442456.65</v>
          </cell>
        </row>
        <row r="130">
          <cell r="L130">
            <v>5095061</v>
          </cell>
          <cell r="Q130" t="str">
            <v>Voice IDD Con PAYG</v>
          </cell>
          <cell r="S130">
            <v>-2442456.65</v>
          </cell>
        </row>
        <row r="131">
          <cell r="S131">
            <v>-1111157</v>
          </cell>
        </row>
        <row r="132">
          <cell r="L132">
            <v>5020430</v>
          </cell>
          <cell r="Q132" t="str">
            <v>VAS Answerphone VCP</v>
          </cell>
          <cell r="S132">
            <v>-1111157</v>
          </cell>
        </row>
        <row r="133">
          <cell r="S133">
            <v>-11668685.75</v>
          </cell>
        </row>
        <row r="134">
          <cell r="L134">
            <v>5020100</v>
          </cell>
          <cell r="Q134" t="str">
            <v>OG fixed line VCP</v>
          </cell>
          <cell r="S134">
            <v>-11668685.75</v>
          </cell>
        </row>
        <row r="135">
          <cell r="S135">
            <v>-8823257.6600000001</v>
          </cell>
        </row>
        <row r="136">
          <cell r="L136">
            <v>5095020</v>
          </cell>
          <cell r="Q136" t="str">
            <v>Core On Net Con PAYG</v>
          </cell>
          <cell r="S136">
            <v>-8823257.6600000001</v>
          </cell>
        </row>
        <row r="137">
          <cell r="S137">
            <v>-16435384.92</v>
          </cell>
        </row>
        <row r="138">
          <cell r="L138">
            <v>5020421</v>
          </cell>
          <cell r="Q138" t="str">
            <v>Core Voice Off Net</v>
          </cell>
          <cell r="S138">
            <v>-16435384.92</v>
          </cell>
        </row>
        <row r="139">
          <cell r="S139">
            <v>8315.02</v>
          </cell>
        </row>
        <row r="140">
          <cell r="L140">
            <v>5095070</v>
          </cell>
          <cell r="Q140" t="str">
            <v>Fraud Consumer PAYG</v>
          </cell>
          <cell r="S140">
            <v>8315.02</v>
          </cell>
        </row>
        <row r="141">
          <cell r="S141">
            <v>-2296837.92</v>
          </cell>
        </row>
        <row r="142">
          <cell r="S142">
            <v>-2296837.92</v>
          </cell>
        </row>
        <row r="143">
          <cell r="L143">
            <v>5020120</v>
          </cell>
          <cell r="Q143" t="str">
            <v>RR-Cons-PAYG-MOC</v>
          </cell>
          <cell r="S143">
            <v>-2296837.92</v>
          </cell>
        </row>
        <row r="144">
          <cell r="S144">
            <v>-17023544.359999999</v>
          </cell>
        </row>
        <row r="145">
          <cell r="S145">
            <v>-17023544.359999999</v>
          </cell>
        </row>
        <row r="146">
          <cell r="L146">
            <v>5095081</v>
          </cell>
          <cell r="Q146" t="str">
            <v>Voice Incom Con PAYG</v>
          </cell>
          <cell r="S146">
            <v>-17023544.359999999</v>
          </cell>
        </row>
        <row r="147">
          <cell r="S147">
            <v>-23947882.239999998</v>
          </cell>
        </row>
        <row r="148">
          <cell r="S148">
            <v>-18863111.170000002</v>
          </cell>
        </row>
        <row r="149">
          <cell r="S149">
            <v>-16765492.810000001</v>
          </cell>
        </row>
        <row r="150">
          <cell r="L150">
            <v>5050000</v>
          </cell>
          <cell r="Q150" t="str">
            <v>VAS SMS Off-net DCP</v>
          </cell>
          <cell r="S150">
            <v>-16765492.810000001</v>
          </cell>
        </row>
        <row r="151">
          <cell r="S151">
            <v>-1112923.93</v>
          </cell>
        </row>
        <row r="152">
          <cell r="L152">
            <v>5050035</v>
          </cell>
          <cell r="Q152" t="str">
            <v>RR-Con-PAYG-SMS</v>
          </cell>
          <cell r="S152">
            <v>-1112923.93</v>
          </cell>
        </row>
        <row r="153">
          <cell r="S153">
            <v>-984694.43</v>
          </cell>
        </row>
        <row r="154">
          <cell r="L154">
            <v>5095091</v>
          </cell>
          <cell r="Q154" t="str">
            <v>SMS-IDD-Rev-Con-PAYG</v>
          </cell>
          <cell r="S154">
            <v>-984694.43</v>
          </cell>
        </row>
        <row r="155">
          <cell r="S155">
            <v>-5084771.07</v>
          </cell>
        </row>
        <row r="156">
          <cell r="S156">
            <v>-5084771.07</v>
          </cell>
        </row>
        <row r="157">
          <cell r="L157">
            <v>5095100</v>
          </cell>
          <cell r="Q157" t="str">
            <v>SMS Incm Consum PAYG</v>
          </cell>
          <cell r="S157">
            <v>-5084771.07</v>
          </cell>
        </row>
        <row r="158">
          <cell r="S158">
            <v>-272069.62</v>
          </cell>
        </row>
        <row r="159">
          <cell r="S159">
            <v>-272069.62</v>
          </cell>
        </row>
        <row r="160">
          <cell r="S160">
            <v>-272069.62</v>
          </cell>
        </row>
        <row r="161">
          <cell r="L161">
            <v>5095101</v>
          </cell>
          <cell r="Q161" t="str">
            <v>MMS Consumer PAYG</v>
          </cell>
          <cell r="S161">
            <v>-272069.62</v>
          </cell>
        </row>
        <row r="162">
          <cell r="S162">
            <v>-810485.46</v>
          </cell>
        </row>
        <row r="163">
          <cell r="S163">
            <v>-810485.46</v>
          </cell>
        </row>
        <row r="164">
          <cell r="S164">
            <v>-49366.58</v>
          </cell>
        </row>
        <row r="165">
          <cell r="L165">
            <v>5095040</v>
          </cell>
          <cell r="Q165" t="str">
            <v>GPRS Consumer PAYG</v>
          </cell>
          <cell r="S165">
            <v>-49366.58</v>
          </cell>
        </row>
        <row r="166">
          <cell r="S166">
            <v>-761118.88</v>
          </cell>
        </row>
        <row r="167">
          <cell r="L167">
            <v>5050030</v>
          </cell>
          <cell r="Q167" t="str">
            <v>2G WAP DCP</v>
          </cell>
          <cell r="S167">
            <v>-761118.88</v>
          </cell>
        </row>
        <row r="168">
          <cell r="S168">
            <v>-694545.36</v>
          </cell>
        </row>
        <row r="169">
          <cell r="S169">
            <v>-694545.36</v>
          </cell>
        </row>
        <row r="170">
          <cell r="S170">
            <v>-9350.09</v>
          </cell>
        </row>
        <row r="171">
          <cell r="L171">
            <v>5095120</v>
          </cell>
          <cell r="Q171" t="str">
            <v>Voice Media Con PAYG</v>
          </cell>
          <cell r="S171">
            <v>-9350.09</v>
          </cell>
        </row>
        <row r="172">
          <cell r="S172">
            <v>-94900.73</v>
          </cell>
        </row>
        <row r="173">
          <cell r="L173">
            <v>5020221</v>
          </cell>
          <cell r="Q173" t="str">
            <v>Text Media</v>
          </cell>
          <cell r="S173">
            <v>-94900.73</v>
          </cell>
        </row>
        <row r="174">
          <cell r="S174">
            <v>-590294.54</v>
          </cell>
        </row>
        <row r="175">
          <cell r="L175">
            <v>5097040</v>
          </cell>
          <cell r="Q175" t="str">
            <v>Downloads Cons PAYG</v>
          </cell>
          <cell r="S175">
            <v>-590294.54</v>
          </cell>
        </row>
        <row r="176">
          <cell r="S176">
            <v>-50989.79</v>
          </cell>
        </row>
        <row r="177">
          <cell r="S177">
            <v>-50989.79</v>
          </cell>
        </row>
        <row r="178">
          <cell r="S178">
            <v>-50989.79</v>
          </cell>
        </row>
        <row r="179">
          <cell r="L179">
            <v>5095121</v>
          </cell>
          <cell r="Q179" t="str">
            <v>Video Mesg Cons PAYG</v>
          </cell>
          <cell r="S179">
            <v>-50989.79</v>
          </cell>
        </row>
        <row r="180">
          <cell r="S180">
            <v>-757406.3</v>
          </cell>
        </row>
        <row r="181">
          <cell r="S181">
            <v>-757406.3</v>
          </cell>
        </row>
        <row r="182">
          <cell r="S182">
            <v>-3375803.08</v>
          </cell>
        </row>
        <row r="183">
          <cell r="L183">
            <v>5095130</v>
          </cell>
          <cell r="Q183" t="str">
            <v>3rd Party Con PAYG</v>
          </cell>
          <cell r="S183">
            <v>-3375803.08</v>
          </cell>
        </row>
        <row r="184">
          <cell r="S184">
            <v>2618396.7799999998</v>
          </cell>
        </row>
        <row r="185">
          <cell r="L185">
            <v>5080012</v>
          </cell>
          <cell r="Q185" t="str">
            <v>3rd Party Costs PAYG</v>
          </cell>
          <cell r="S185">
            <v>2618396.7799999998</v>
          </cell>
        </row>
        <row r="186">
          <cell r="S186">
            <v>-4869491</v>
          </cell>
        </row>
        <row r="187">
          <cell r="S187">
            <v>-4869491</v>
          </cell>
        </row>
        <row r="188">
          <cell r="S188">
            <v>-4869491</v>
          </cell>
        </row>
        <row r="189">
          <cell r="S189">
            <v>-4869491</v>
          </cell>
        </row>
        <row r="190">
          <cell r="S190">
            <v>-4869491</v>
          </cell>
        </row>
        <row r="191">
          <cell r="L191">
            <v>5001034</v>
          </cell>
          <cell r="Q191" t="str">
            <v>Interc. Roaming NCO</v>
          </cell>
          <cell r="S191">
            <v>-4869491</v>
          </cell>
        </row>
        <row r="192">
          <cell r="S192">
            <v>-30044260.899999999</v>
          </cell>
        </row>
        <row r="193">
          <cell r="S193">
            <v>-30044260.899999999</v>
          </cell>
        </row>
        <row r="194">
          <cell r="S194">
            <v>-27705597.629999999</v>
          </cell>
        </row>
        <row r="195">
          <cell r="S195">
            <v>-14527695.09</v>
          </cell>
        </row>
        <row r="196">
          <cell r="S196">
            <v>-14527695.09</v>
          </cell>
        </row>
        <row r="197">
          <cell r="L197">
            <v>5002111</v>
          </cell>
          <cell r="Q197" t="str">
            <v>Access Fees SBus</v>
          </cell>
          <cell r="S197">
            <v>-15006321.92</v>
          </cell>
        </row>
        <row r="198">
          <cell r="L198">
            <v>5002121</v>
          </cell>
          <cell r="Q198" t="str">
            <v>Credits &amp; Disc VSC</v>
          </cell>
          <cell r="S198">
            <v>478626.83</v>
          </cell>
        </row>
        <row r="199">
          <cell r="S199">
            <v>-5189822.21</v>
          </cell>
        </row>
        <row r="200">
          <cell r="S200">
            <v>-471803.44</v>
          </cell>
        </row>
        <row r="201">
          <cell r="L201">
            <v>5001161</v>
          </cell>
          <cell r="Q201" t="str">
            <v>OG Premium SBus</v>
          </cell>
          <cell r="S201">
            <v>-155821.97</v>
          </cell>
        </row>
        <row r="202">
          <cell r="L202">
            <v>5001171</v>
          </cell>
          <cell r="Q202" t="str">
            <v>OG Freephone VSC</v>
          </cell>
          <cell r="S202">
            <v>-9410.65</v>
          </cell>
        </row>
        <row r="203">
          <cell r="L203">
            <v>5001200</v>
          </cell>
          <cell r="Q203" t="str">
            <v>Unalloc Outgoing VSC</v>
          </cell>
          <cell r="S203">
            <v>-27479.9</v>
          </cell>
        </row>
        <row r="204">
          <cell r="L204">
            <v>5003111</v>
          </cell>
          <cell r="Q204" t="str">
            <v>VAS DQ SBus</v>
          </cell>
          <cell r="S204">
            <v>-276876.07</v>
          </cell>
        </row>
        <row r="205">
          <cell r="L205">
            <v>5003121</v>
          </cell>
          <cell r="Q205" t="str">
            <v>VAS IDQ SBus</v>
          </cell>
          <cell r="S205">
            <v>-1046.32</v>
          </cell>
        </row>
        <row r="206">
          <cell r="L206">
            <v>5003159</v>
          </cell>
          <cell r="Q206" t="str">
            <v>Video Small Business</v>
          </cell>
          <cell r="S206">
            <v>-260</v>
          </cell>
        </row>
        <row r="207">
          <cell r="L207">
            <v>5003161</v>
          </cell>
          <cell r="Q207" t="str">
            <v>VAS Answerfax SBus</v>
          </cell>
          <cell r="S207">
            <v>-313.48</v>
          </cell>
        </row>
        <row r="208">
          <cell r="L208">
            <v>5003201</v>
          </cell>
          <cell r="Q208" t="str">
            <v>VAS Wildfire SBus</v>
          </cell>
          <cell r="S208">
            <v>-13.18</v>
          </cell>
        </row>
        <row r="209">
          <cell r="L209">
            <v>5003202</v>
          </cell>
          <cell r="Q209" t="str">
            <v>VAS Unified Msg SB</v>
          </cell>
          <cell r="S209">
            <v>-581.87</v>
          </cell>
        </row>
        <row r="210">
          <cell r="S210">
            <v>-531155.78</v>
          </cell>
        </row>
        <row r="211">
          <cell r="L211">
            <v>5001121</v>
          </cell>
          <cell r="Q211" t="str">
            <v>OG International VSC</v>
          </cell>
          <cell r="S211">
            <v>-531155.78</v>
          </cell>
        </row>
        <row r="212">
          <cell r="S212">
            <v>-30462.52</v>
          </cell>
        </row>
        <row r="213">
          <cell r="L213">
            <v>5003141</v>
          </cell>
          <cell r="Q213" t="str">
            <v>VAS Answerphone SBus</v>
          </cell>
          <cell r="S213">
            <v>-30462.52</v>
          </cell>
        </row>
        <row r="214">
          <cell r="S214">
            <v>-915927.85</v>
          </cell>
        </row>
        <row r="215">
          <cell r="L215">
            <v>5001111</v>
          </cell>
          <cell r="Q215" t="str">
            <v>OG Costed Call SBus</v>
          </cell>
          <cell r="S215">
            <v>-915927.85</v>
          </cell>
        </row>
        <row r="216">
          <cell r="S216">
            <v>-596245.86</v>
          </cell>
        </row>
        <row r="217">
          <cell r="L217">
            <v>5001141</v>
          </cell>
          <cell r="Q217" t="str">
            <v>Og Onnet SBus</v>
          </cell>
          <cell r="S217">
            <v>-596245.86</v>
          </cell>
        </row>
        <row r="218">
          <cell r="S218">
            <v>-2361858.39</v>
          </cell>
        </row>
        <row r="219">
          <cell r="L219">
            <v>5001155</v>
          </cell>
          <cell r="Q219" t="str">
            <v>OG Off-net mob VSC</v>
          </cell>
          <cell r="S219">
            <v>-316289.94</v>
          </cell>
        </row>
        <row r="220">
          <cell r="L220">
            <v>5001156</v>
          </cell>
          <cell r="Q220" t="str">
            <v>OG Offnet Cellnt SBu</v>
          </cell>
          <cell r="S220">
            <v>-753727.9</v>
          </cell>
        </row>
        <row r="221">
          <cell r="L221">
            <v>5001157</v>
          </cell>
          <cell r="Q221" t="str">
            <v>OG Offnet VodaFn SBu</v>
          </cell>
          <cell r="S221">
            <v>-794633.92</v>
          </cell>
        </row>
        <row r="222">
          <cell r="L222">
            <v>5001158</v>
          </cell>
          <cell r="Q222" t="str">
            <v>OG Offnet O2O SBus</v>
          </cell>
          <cell r="S222">
            <v>-497206.63</v>
          </cell>
        </row>
        <row r="223">
          <cell r="S223">
            <v>21960</v>
          </cell>
        </row>
        <row r="224">
          <cell r="L224">
            <v>5095140</v>
          </cell>
          <cell r="Q224" t="str">
            <v>Fraud SB</v>
          </cell>
          <cell r="S224">
            <v>21960</v>
          </cell>
        </row>
        <row r="225">
          <cell r="S225">
            <v>-304328.37</v>
          </cell>
        </row>
        <row r="226">
          <cell r="L226">
            <v>5095141</v>
          </cell>
          <cell r="Q226" t="str">
            <v>Insurance Revenue SB</v>
          </cell>
          <cell r="S226">
            <v>-554995.04</v>
          </cell>
        </row>
        <row r="227">
          <cell r="L227">
            <v>5095142</v>
          </cell>
          <cell r="Q227" t="str">
            <v>Insurance Share SB</v>
          </cell>
          <cell r="S227">
            <v>250666.67</v>
          </cell>
        </row>
        <row r="228">
          <cell r="S228">
            <v>-3378421.7</v>
          </cell>
        </row>
        <row r="229">
          <cell r="S229">
            <v>-3378421.7</v>
          </cell>
        </row>
        <row r="230">
          <cell r="L230">
            <v>5010101</v>
          </cell>
          <cell r="Q230" t="str">
            <v>RR-SBus-PAYM-MOC</v>
          </cell>
          <cell r="S230">
            <v>-2769825.15</v>
          </cell>
        </row>
        <row r="231">
          <cell r="L231">
            <v>5010111</v>
          </cell>
          <cell r="Q231" t="str">
            <v>RR-SBus-PAYM-MTC</v>
          </cell>
          <cell r="S231">
            <v>-608596.55000000005</v>
          </cell>
        </row>
        <row r="232">
          <cell r="S232">
            <v>-4609658.63</v>
          </cell>
        </row>
        <row r="233">
          <cell r="S233">
            <v>-4609658.63</v>
          </cell>
        </row>
        <row r="234">
          <cell r="L234">
            <v>5095150</v>
          </cell>
          <cell r="Q234" t="str">
            <v>Voice Incoming SB</v>
          </cell>
          <cell r="S234">
            <v>-4609658.63</v>
          </cell>
        </row>
        <row r="235">
          <cell r="S235">
            <v>-1835187.98</v>
          </cell>
        </row>
        <row r="236">
          <cell r="S236">
            <v>-1472930.5</v>
          </cell>
        </row>
        <row r="237">
          <cell r="S237">
            <v>-1190525.04</v>
          </cell>
        </row>
        <row r="238">
          <cell r="L238">
            <v>5040001</v>
          </cell>
          <cell r="Q238" t="str">
            <v>VAS SMS off-net DSC</v>
          </cell>
          <cell r="S238">
            <v>-542605.62</v>
          </cell>
        </row>
        <row r="239">
          <cell r="L239">
            <v>5040003</v>
          </cell>
          <cell r="Q239" t="str">
            <v>SMS Bundles SB</v>
          </cell>
          <cell r="S239">
            <v>-275280.56</v>
          </cell>
        </row>
        <row r="240">
          <cell r="L240">
            <v>5040011</v>
          </cell>
          <cell r="Q240" t="str">
            <v>VAS SMS On-net DSC</v>
          </cell>
          <cell r="S240">
            <v>-372638.86</v>
          </cell>
        </row>
        <row r="241">
          <cell r="S241">
            <v>-227287.46</v>
          </cell>
        </row>
        <row r="242">
          <cell r="L242">
            <v>5040036</v>
          </cell>
          <cell r="Q242" t="str">
            <v>RR-SBus-PAYM-SMS</v>
          </cell>
          <cell r="S242">
            <v>-227287.46</v>
          </cell>
        </row>
        <row r="243">
          <cell r="S243">
            <v>-55118</v>
          </cell>
        </row>
        <row r="244">
          <cell r="L244">
            <v>5095160</v>
          </cell>
          <cell r="Q244" t="str">
            <v>SMS-IDD-Rev-SmBus-PM</v>
          </cell>
          <cell r="S244">
            <v>-55118</v>
          </cell>
        </row>
        <row r="245">
          <cell r="S245">
            <v>-362257.48</v>
          </cell>
        </row>
        <row r="246">
          <cell r="S246">
            <v>-362257.48</v>
          </cell>
        </row>
        <row r="247">
          <cell r="L247">
            <v>5095161</v>
          </cell>
          <cell r="Q247" t="str">
            <v>I/C SMS SB</v>
          </cell>
          <cell r="S247">
            <v>-362257.48</v>
          </cell>
        </row>
        <row r="248">
          <cell r="S248">
            <v>-83026.12</v>
          </cell>
        </row>
        <row r="249">
          <cell r="S249">
            <v>-83026.12</v>
          </cell>
        </row>
        <row r="250">
          <cell r="S250">
            <v>-83026.12</v>
          </cell>
        </row>
        <row r="251">
          <cell r="L251">
            <v>5040051</v>
          </cell>
          <cell r="Q251" t="str">
            <v>VAS MMS Small bus</v>
          </cell>
          <cell r="S251">
            <v>-57205.65</v>
          </cell>
        </row>
        <row r="252">
          <cell r="L252">
            <v>5040052</v>
          </cell>
          <cell r="Q252" t="str">
            <v>MMS Bundles SB</v>
          </cell>
          <cell r="S252">
            <v>-25820.47</v>
          </cell>
        </row>
        <row r="253">
          <cell r="S253">
            <v>-472872.14</v>
          </cell>
        </row>
        <row r="254">
          <cell r="S254">
            <v>-472872.14</v>
          </cell>
        </row>
        <row r="255">
          <cell r="S255">
            <v>-10464.16</v>
          </cell>
        </row>
        <row r="256">
          <cell r="L256">
            <v>5095170</v>
          </cell>
          <cell r="Q256" t="str">
            <v>HSCSD SB</v>
          </cell>
          <cell r="S256">
            <v>-10464.16</v>
          </cell>
        </row>
        <row r="257">
          <cell r="S257">
            <v>-222803.12</v>
          </cell>
        </row>
        <row r="258">
          <cell r="L258">
            <v>5010102</v>
          </cell>
          <cell r="Q258" t="str">
            <v>RR-SBus-PAYM-GPRS</v>
          </cell>
          <cell r="S258">
            <v>-67184.31</v>
          </cell>
        </row>
        <row r="259">
          <cell r="L259">
            <v>5010103</v>
          </cell>
          <cell r="Q259" t="str">
            <v>GPRS Bundles SB</v>
          </cell>
          <cell r="S259">
            <v>-53314.13</v>
          </cell>
        </row>
        <row r="260">
          <cell r="L260">
            <v>5040041</v>
          </cell>
          <cell r="Q260" t="str">
            <v>GPRS Small Bus</v>
          </cell>
          <cell r="S260">
            <v>-102304.68</v>
          </cell>
        </row>
        <row r="261">
          <cell r="S261">
            <v>-134067.57</v>
          </cell>
        </row>
        <row r="262">
          <cell r="L262">
            <v>5040028</v>
          </cell>
          <cell r="Q262" t="str">
            <v>WAP Bundles SB</v>
          </cell>
          <cell r="S262">
            <v>-63398.41</v>
          </cell>
        </row>
        <row r="263">
          <cell r="L263">
            <v>5040031</v>
          </cell>
          <cell r="Q263" t="str">
            <v>2G WAP DSC</v>
          </cell>
          <cell r="S263">
            <v>-8169.16</v>
          </cell>
        </row>
        <row r="264">
          <cell r="L264">
            <v>5040033</v>
          </cell>
          <cell r="Q264" t="str">
            <v>WAP GPRS Small Bus</v>
          </cell>
          <cell r="S264">
            <v>-62500</v>
          </cell>
        </row>
        <row r="265">
          <cell r="S265">
            <v>-12075.58</v>
          </cell>
        </row>
        <row r="266">
          <cell r="L266">
            <v>5097010</v>
          </cell>
          <cell r="Q266" t="str">
            <v>MOC 2G SB</v>
          </cell>
          <cell r="S266">
            <v>-12075.58</v>
          </cell>
        </row>
        <row r="267">
          <cell r="S267">
            <v>-93461.71</v>
          </cell>
        </row>
        <row r="268">
          <cell r="L268">
            <v>5097020</v>
          </cell>
          <cell r="Q268" t="str">
            <v>MOC 3G SB</v>
          </cell>
          <cell r="S268">
            <v>-93461.71</v>
          </cell>
        </row>
        <row r="269">
          <cell r="S269">
            <v>-46105.53</v>
          </cell>
        </row>
        <row r="270">
          <cell r="S270">
            <v>-46105.53</v>
          </cell>
        </row>
        <row r="271">
          <cell r="S271">
            <v>-11073.15</v>
          </cell>
        </row>
        <row r="272">
          <cell r="L272">
            <v>5003162</v>
          </cell>
          <cell r="Q272" t="str">
            <v>VAS Info Lines CSC</v>
          </cell>
          <cell r="S272">
            <v>-11073.15</v>
          </cell>
        </row>
        <row r="273">
          <cell r="S273">
            <v>-23201.599999999999</v>
          </cell>
        </row>
        <row r="274">
          <cell r="L274">
            <v>5040021</v>
          </cell>
          <cell r="Q274" t="str">
            <v>VAS Info serv DSC</v>
          </cell>
          <cell r="S274">
            <v>-23201.599999999999</v>
          </cell>
        </row>
        <row r="275">
          <cell r="S275">
            <v>-11618.02</v>
          </cell>
        </row>
        <row r="276">
          <cell r="L276">
            <v>5040060</v>
          </cell>
          <cell r="Q276" t="str">
            <v>MMS Content Small bu</v>
          </cell>
          <cell r="S276">
            <v>-11618.02</v>
          </cell>
        </row>
        <row r="277">
          <cell r="S277">
            <v>-212.76</v>
          </cell>
        </row>
        <row r="278">
          <cell r="L278">
            <v>5006071</v>
          </cell>
          <cell r="Q278" t="str">
            <v>Content 1 CSC</v>
          </cell>
          <cell r="S278">
            <v>-212.76</v>
          </cell>
        </row>
        <row r="279">
          <cell r="S279">
            <v>-172593.58</v>
          </cell>
        </row>
        <row r="280">
          <cell r="S280">
            <v>-172593.58</v>
          </cell>
        </row>
        <row r="281">
          <cell r="S281">
            <v>-172592.81</v>
          </cell>
        </row>
        <row r="282">
          <cell r="L282">
            <v>5006062</v>
          </cell>
          <cell r="Q282" t="str">
            <v>Content Rev Shre CSC</v>
          </cell>
          <cell r="S282">
            <v>-435093.77</v>
          </cell>
        </row>
        <row r="283">
          <cell r="L283">
            <v>5006068</v>
          </cell>
          <cell r="Q283" t="str">
            <v>3rd Pty Nting Cst SB</v>
          </cell>
          <cell r="S283">
            <v>328211.3</v>
          </cell>
        </row>
        <row r="284">
          <cell r="L284">
            <v>5006072</v>
          </cell>
          <cell r="Q284" t="str">
            <v>Third Party Voice-SB</v>
          </cell>
          <cell r="S284">
            <v>-9340.2999999999993</v>
          </cell>
        </row>
        <row r="285">
          <cell r="L285">
            <v>5006081</v>
          </cell>
          <cell r="Q285" t="str">
            <v>Content Dload CCC SB</v>
          </cell>
          <cell r="S285">
            <v>-56370.04</v>
          </cell>
        </row>
        <row r="286">
          <cell r="S286">
            <v>-0.77</v>
          </cell>
        </row>
        <row r="287">
          <cell r="L287">
            <v>5070071</v>
          </cell>
          <cell r="Q287" t="str">
            <v>SMS Games CSC</v>
          </cell>
          <cell r="S287">
            <v>-0.77</v>
          </cell>
        </row>
        <row r="288">
          <cell r="S288">
            <v>271122.08</v>
          </cell>
        </row>
        <row r="289">
          <cell r="S289">
            <v>271122.08</v>
          </cell>
        </row>
        <row r="290">
          <cell r="S290">
            <v>271122.08</v>
          </cell>
        </row>
        <row r="291">
          <cell r="L291">
            <v>5000101</v>
          </cell>
          <cell r="Q291" t="str">
            <v>Connection Rev VSC</v>
          </cell>
          <cell r="S291">
            <v>271122.08</v>
          </cell>
        </row>
        <row r="292">
          <cell r="S292">
            <v>-31642406.66</v>
          </cell>
        </row>
        <row r="293">
          <cell r="S293">
            <v>-31642406.66</v>
          </cell>
        </row>
        <row r="294">
          <cell r="S294">
            <v>-27671495.91</v>
          </cell>
        </row>
        <row r="295">
          <cell r="S295">
            <v>-4174174.7</v>
          </cell>
        </row>
        <row r="296">
          <cell r="S296">
            <v>-4174174.7</v>
          </cell>
        </row>
        <row r="297">
          <cell r="L297">
            <v>5030310</v>
          </cell>
          <cell r="P297" t="str">
            <v>Access fees Bus</v>
          </cell>
          <cell r="S297">
            <v>-6835788.8899999997</v>
          </cell>
        </row>
        <row r="298">
          <cell r="L298">
            <v>5030320</v>
          </cell>
          <cell r="P298" t="str">
            <v>Credits &amp; Disc VBC</v>
          </cell>
          <cell r="S298">
            <v>2661614.19</v>
          </cell>
        </row>
        <row r="299">
          <cell r="S299">
            <v>-12730606.449999999</v>
          </cell>
        </row>
        <row r="300">
          <cell r="S300">
            <v>-1205720.51</v>
          </cell>
        </row>
        <row r="301">
          <cell r="L301">
            <v>5030101</v>
          </cell>
          <cell r="P301" t="str">
            <v>OG Private Wire</v>
          </cell>
          <cell r="S301">
            <v>-726559</v>
          </cell>
        </row>
        <row r="302">
          <cell r="L302">
            <v>5030160</v>
          </cell>
          <cell r="P302" t="str">
            <v>VAS Premium VBC</v>
          </cell>
          <cell r="S302">
            <v>-111399.36</v>
          </cell>
        </row>
        <row r="303">
          <cell r="L303">
            <v>5030170</v>
          </cell>
          <cell r="P303" t="str">
            <v>VAS Freephone VBC</v>
          </cell>
          <cell r="S303">
            <v>-3422.56</v>
          </cell>
        </row>
        <row r="304">
          <cell r="L304">
            <v>5030199</v>
          </cell>
          <cell r="P304" t="str">
            <v>Unalloc Outgoing VBC</v>
          </cell>
          <cell r="S304">
            <v>-55931.26</v>
          </cell>
        </row>
        <row r="305">
          <cell r="L305">
            <v>5030410</v>
          </cell>
          <cell r="P305" t="str">
            <v>VAS DQ VBC Bus</v>
          </cell>
          <cell r="S305">
            <v>-306725.03999999998</v>
          </cell>
        </row>
        <row r="306">
          <cell r="L306">
            <v>5030420</v>
          </cell>
          <cell r="P306" t="str">
            <v>VAS IDQ Bus</v>
          </cell>
          <cell r="S306">
            <v>-741.84</v>
          </cell>
        </row>
        <row r="307">
          <cell r="L307">
            <v>5030440</v>
          </cell>
          <cell r="P307" t="str">
            <v>VAS Answerfax Bus</v>
          </cell>
          <cell r="S307">
            <v>-310.36</v>
          </cell>
        </row>
        <row r="308">
          <cell r="L308">
            <v>5030460</v>
          </cell>
          <cell r="P308" t="str">
            <v>VAS Wildfire Bus</v>
          </cell>
          <cell r="S308">
            <v>-12.21</v>
          </cell>
        </row>
        <row r="309">
          <cell r="L309">
            <v>5030470</v>
          </cell>
          <cell r="P309" t="str">
            <v>VAS Unified Mesg Cor</v>
          </cell>
          <cell r="S309">
            <v>-618.88</v>
          </cell>
        </row>
        <row r="310">
          <cell r="S310">
            <v>-655391.03</v>
          </cell>
        </row>
        <row r="311">
          <cell r="L311">
            <v>5030110</v>
          </cell>
          <cell r="P311" t="str">
            <v>OG Internationl VBC</v>
          </cell>
          <cell r="S311">
            <v>-655391.03</v>
          </cell>
        </row>
        <row r="312">
          <cell r="S312">
            <v>-89896.05</v>
          </cell>
        </row>
        <row r="313">
          <cell r="L313">
            <v>5030430</v>
          </cell>
          <cell r="P313" t="str">
            <v>VAS Answerphone Bus</v>
          </cell>
          <cell r="S313">
            <v>-89896.05</v>
          </cell>
        </row>
        <row r="314">
          <cell r="S314">
            <v>-2858519.94</v>
          </cell>
        </row>
        <row r="315">
          <cell r="L315">
            <v>5030100</v>
          </cell>
          <cell r="P315" t="str">
            <v>OG Fixed line VBC</v>
          </cell>
          <cell r="S315">
            <v>-2858519.94</v>
          </cell>
        </row>
        <row r="316">
          <cell r="S316">
            <v>-2695767.38</v>
          </cell>
        </row>
        <row r="317">
          <cell r="L317">
            <v>5030140</v>
          </cell>
          <cell r="P317" t="str">
            <v>OG On-net mob VBC</v>
          </cell>
          <cell r="S317">
            <v>-2695767.38</v>
          </cell>
        </row>
        <row r="318">
          <cell r="S318">
            <v>-5225387</v>
          </cell>
        </row>
        <row r="319">
          <cell r="L319">
            <v>5030150</v>
          </cell>
          <cell r="P319" t="str">
            <v>OG Off-net mob VBC</v>
          </cell>
          <cell r="S319">
            <v>-710829.6</v>
          </cell>
        </row>
        <row r="320">
          <cell r="L320">
            <v>5030151</v>
          </cell>
          <cell r="P320" t="str">
            <v>OG Offnet Cellnt Bus</v>
          </cell>
          <cell r="S320">
            <v>-1581792.91</v>
          </cell>
        </row>
        <row r="321">
          <cell r="L321">
            <v>5030152</v>
          </cell>
          <cell r="P321" t="str">
            <v>OG Offnet VodaFn Bus</v>
          </cell>
          <cell r="S321">
            <v>-1886123.59</v>
          </cell>
        </row>
        <row r="322">
          <cell r="L322">
            <v>5030153</v>
          </cell>
          <cell r="P322" t="str">
            <v>OG Offnet O2O Bus</v>
          </cell>
          <cell r="S322">
            <v>-1046640.9</v>
          </cell>
        </row>
        <row r="323">
          <cell r="S323">
            <v>5490</v>
          </cell>
        </row>
        <row r="324">
          <cell r="L324">
            <v>5001033</v>
          </cell>
          <cell r="P324" t="str">
            <v>Fraud Bus Sol</v>
          </cell>
          <cell r="S324">
            <v>5490</v>
          </cell>
        </row>
        <row r="325">
          <cell r="S325">
            <v>-5414.54</v>
          </cell>
        </row>
        <row r="326">
          <cell r="L326">
            <v>5080021</v>
          </cell>
          <cell r="P326" t="str">
            <v>Insurance Revenue BS</v>
          </cell>
          <cell r="S326">
            <v>-5414.54</v>
          </cell>
        </row>
        <row r="327">
          <cell r="S327">
            <v>-4774336.5</v>
          </cell>
        </row>
        <row r="328">
          <cell r="S328">
            <v>-4774336.5</v>
          </cell>
        </row>
        <row r="329">
          <cell r="L329">
            <v>5030120</v>
          </cell>
          <cell r="P329" t="str">
            <v>RR-BSol-PAYM-MOC</v>
          </cell>
          <cell r="S329">
            <v>-3998936.1</v>
          </cell>
        </row>
        <row r="330">
          <cell r="L330">
            <v>5030130</v>
          </cell>
          <cell r="P330" t="str">
            <v>RR-BSol-PAYM-MTC</v>
          </cell>
          <cell r="S330">
            <v>-775400.4</v>
          </cell>
        </row>
        <row r="331">
          <cell r="S331">
            <v>-5992378.2599999998</v>
          </cell>
        </row>
        <row r="332">
          <cell r="S332">
            <v>-5992378.2599999998</v>
          </cell>
        </row>
        <row r="333">
          <cell r="L333">
            <v>5030200</v>
          </cell>
          <cell r="P333" t="str">
            <v>I/CRev(exclSMS)Busso</v>
          </cell>
          <cell r="S333">
            <v>-5992378.2599999998</v>
          </cell>
        </row>
        <row r="334">
          <cell r="S334">
            <v>-1383748.1</v>
          </cell>
        </row>
        <row r="335">
          <cell r="S335">
            <v>-1036862.34</v>
          </cell>
        </row>
        <row r="336">
          <cell r="S336">
            <v>-815142.78</v>
          </cell>
        </row>
        <row r="337">
          <cell r="L337">
            <v>5060000</v>
          </cell>
          <cell r="P337" t="str">
            <v>VAS SMS Off-net DBC</v>
          </cell>
          <cell r="S337">
            <v>-397945.52</v>
          </cell>
        </row>
        <row r="338">
          <cell r="L338">
            <v>5060001</v>
          </cell>
          <cell r="P338" t="str">
            <v>SMS Bundles BS</v>
          </cell>
          <cell r="S338">
            <v>-63622</v>
          </cell>
        </row>
        <row r="339">
          <cell r="L339">
            <v>5060010</v>
          </cell>
          <cell r="P339" t="str">
            <v>VAS SMS On-net DBC</v>
          </cell>
          <cell r="S339">
            <v>-353575.26</v>
          </cell>
        </row>
        <row r="340">
          <cell r="S340">
            <v>-186082.56</v>
          </cell>
        </row>
        <row r="341">
          <cell r="L341">
            <v>5000103</v>
          </cell>
          <cell r="P341" t="str">
            <v>RR-BSol-PAYM-SMS</v>
          </cell>
          <cell r="S341">
            <v>-186082.56</v>
          </cell>
        </row>
        <row r="342">
          <cell r="S342">
            <v>-35637</v>
          </cell>
        </row>
        <row r="343">
          <cell r="L343">
            <v>5080051</v>
          </cell>
          <cell r="P343" t="str">
            <v>SMS-IDD-Rev-B Sol-PM</v>
          </cell>
          <cell r="S343">
            <v>-35637</v>
          </cell>
        </row>
        <row r="344">
          <cell r="S344">
            <v>-346885.76</v>
          </cell>
        </row>
        <row r="345">
          <cell r="S345">
            <v>-346885.76</v>
          </cell>
        </row>
        <row r="346">
          <cell r="L346">
            <v>5030220</v>
          </cell>
          <cell r="P346" t="str">
            <v>I/C Nat.SMSRevBussol</v>
          </cell>
          <cell r="S346">
            <v>-346885.76</v>
          </cell>
        </row>
        <row r="347">
          <cell r="S347">
            <v>-22497.88</v>
          </cell>
        </row>
        <row r="348">
          <cell r="S348">
            <v>-22497.88</v>
          </cell>
        </row>
        <row r="349">
          <cell r="S349">
            <v>-22497.88</v>
          </cell>
        </row>
        <row r="350">
          <cell r="L350">
            <v>5060040</v>
          </cell>
          <cell r="P350" t="str">
            <v>VAS MMS Corporate</v>
          </cell>
          <cell r="S350">
            <v>-20978.880000000001</v>
          </cell>
        </row>
        <row r="351">
          <cell r="L351">
            <v>5060041</v>
          </cell>
          <cell r="P351" t="str">
            <v>MMS Bundles BS</v>
          </cell>
          <cell r="S351">
            <v>-1519</v>
          </cell>
        </row>
        <row r="352">
          <cell r="S352">
            <v>-1593586.26</v>
          </cell>
        </row>
        <row r="353">
          <cell r="S353">
            <v>-1593586.26</v>
          </cell>
        </row>
        <row r="354">
          <cell r="S354">
            <v>-101017.94</v>
          </cell>
        </row>
        <row r="355">
          <cell r="L355">
            <v>5080061</v>
          </cell>
          <cell r="P355" t="str">
            <v>HSCSD BS</v>
          </cell>
          <cell r="S355">
            <v>-101017.94</v>
          </cell>
        </row>
        <row r="356">
          <cell r="S356">
            <v>52558.36</v>
          </cell>
        </row>
        <row r="357">
          <cell r="L357">
            <v>5030121</v>
          </cell>
          <cell r="P357" t="str">
            <v>RR-BSol-PAYM-GPRS</v>
          </cell>
          <cell r="S357">
            <v>-92141.23</v>
          </cell>
        </row>
        <row r="358">
          <cell r="L358">
            <v>5030122</v>
          </cell>
          <cell r="P358" t="str">
            <v>GPRS Bundles BS</v>
          </cell>
          <cell r="S358">
            <v>-214397</v>
          </cell>
        </row>
        <row r="359">
          <cell r="L359">
            <v>5060060</v>
          </cell>
          <cell r="P359" t="str">
            <v>GPRS Corporate</v>
          </cell>
          <cell r="S359">
            <v>359096.59</v>
          </cell>
        </row>
        <row r="360">
          <cell r="S360">
            <v>-21367.86</v>
          </cell>
        </row>
        <row r="361">
          <cell r="L361">
            <v>5060030</v>
          </cell>
          <cell r="P361" t="str">
            <v>2G WAP DBC</v>
          </cell>
          <cell r="S361">
            <v>-21367.86</v>
          </cell>
        </row>
        <row r="362">
          <cell r="S362">
            <v>-233788.41</v>
          </cell>
        </row>
        <row r="363">
          <cell r="L363">
            <v>5060080</v>
          </cell>
          <cell r="P363" t="str">
            <v>Data DBC</v>
          </cell>
          <cell r="S363">
            <v>-233788.41</v>
          </cell>
        </row>
        <row r="364">
          <cell r="S364">
            <v>-12419.7</v>
          </cell>
        </row>
        <row r="365">
          <cell r="L365">
            <v>5090030</v>
          </cell>
          <cell r="P365" t="str">
            <v>Business LAN BS</v>
          </cell>
          <cell r="S365">
            <v>-12419.7</v>
          </cell>
        </row>
        <row r="366">
          <cell r="S366">
            <v>-44956.639999999999</v>
          </cell>
        </row>
        <row r="367">
          <cell r="L367">
            <v>5050081</v>
          </cell>
          <cell r="P367" t="str">
            <v>Internet Link BS</v>
          </cell>
          <cell r="S367">
            <v>-44956.639999999999</v>
          </cell>
        </row>
        <row r="368">
          <cell r="S368">
            <v>-85967.3</v>
          </cell>
        </row>
        <row r="369">
          <cell r="L369">
            <v>5050011</v>
          </cell>
          <cell r="P369" t="str">
            <v>MOC 2G BS</v>
          </cell>
          <cell r="S369">
            <v>-85967.3</v>
          </cell>
        </row>
        <row r="370">
          <cell r="S370">
            <v>-496730.48</v>
          </cell>
        </row>
        <row r="371">
          <cell r="L371">
            <v>5050021</v>
          </cell>
          <cell r="P371" t="str">
            <v>MOC 3G BS</v>
          </cell>
          <cell r="S371">
            <v>-496730.48</v>
          </cell>
        </row>
        <row r="372">
          <cell r="S372">
            <v>-649896.29</v>
          </cell>
        </row>
        <row r="373">
          <cell r="L373">
            <v>5050031</v>
          </cell>
          <cell r="P373" t="str">
            <v>Other GPRS Access BS</v>
          </cell>
          <cell r="S373">
            <v>-649896.29</v>
          </cell>
        </row>
        <row r="374">
          <cell r="S374">
            <v>-187690.2</v>
          </cell>
        </row>
        <row r="375">
          <cell r="S375">
            <v>-187690.2</v>
          </cell>
        </row>
        <row r="376">
          <cell r="S376">
            <v>-36532.29</v>
          </cell>
        </row>
        <row r="377">
          <cell r="L377">
            <v>5090050</v>
          </cell>
          <cell r="P377" t="str">
            <v>VAS Info srv Vce CBC</v>
          </cell>
          <cell r="S377">
            <v>-36532.29</v>
          </cell>
        </row>
        <row r="378">
          <cell r="S378">
            <v>-29058.400000000001</v>
          </cell>
        </row>
        <row r="379">
          <cell r="L379">
            <v>5060020</v>
          </cell>
          <cell r="P379" t="str">
            <v>VAS Info serv tx DBC</v>
          </cell>
          <cell r="S379">
            <v>-29058.400000000001</v>
          </cell>
        </row>
        <row r="380">
          <cell r="S380">
            <v>-3507.03</v>
          </cell>
        </row>
        <row r="381">
          <cell r="L381">
            <v>5060050</v>
          </cell>
          <cell r="P381" t="str">
            <v>MMS Content Corp</v>
          </cell>
          <cell r="S381">
            <v>-3507.03</v>
          </cell>
        </row>
        <row r="382">
          <cell r="S382">
            <v>-25.53</v>
          </cell>
        </row>
        <row r="383">
          <cell r="L383">
            <v>5090000</v>
          </cell>
          <cell r="P383" t="str">
            <v>Content 1 CBC</v>
          </cell>
          <cell r="S383">
            <v>-25.53</v>
          </cell>
        </row>
        <row r="384">
          <cell r="S384">
            <v>-118566.95</v>
          </cell>
        </row>
        <row r="385">
          <cell r="L385">
            <v>5006005</v>
          </cell>
          <cell r="P385" t="str">
            <v>HVBMS</v>
          </cell>
          <cell r="S385">
            <v>-118566.95</v>
          </cell>
        </row>
        <row r="386">
          <cell r="S386">
            <v>-593403.89</v>
          </cell>
        </row>
        <row r="387">
          <cell r="S387">
            <v>-593403.89</v>
          </cell>
        </row>
        <row r="388">
          <cell r="S388">
            <v>-48475.98</v>
          </cell>
        </row>
        <row r="389">
          <cell r="L389">
            <v>5007010</v>
          </cell>
          <cell r="P389" t="str">
            <v>Fleetlink</v>
          </cell>
          <cell r="S389">
            <v>-48475.98</v>
          </cell>
        </row>
        <row r="390">
          <cell r="S390">
            <v>-30449</v>
          </cell>
        </row>
        <row r="391">
          <cell r="L391">
            <v>5010210</v>
          </cell>
          <cell r="P391" t="str">
            <v>Accelerator</v>
          </cell>
          <cell r="S391">
            <v>-30449</v>
          </cell>
        </row>
        <row r="392">
          <cell r="S392">
            <v>-67671.13</v>
          </cell>
        </row>
        <row r="393">
          <cell r="L393">
            <v>5010211</v>
          </cell>
          <cell r="P393" t="str">
            <v>OOF</v>
          </cell>
          <cell r="S393">
            <v>-67671.13</v>
          </cell>
        </row>
        <row r="394">
          <cell r="S394">
            <v>-446807.78</v>
          </cell>
        </row>
        <row r="395">
          <cell r="L395">
            <v>5007021</v>
          </cell>
          <cell r="P395" t="str">
            <v>Blackberry</v>
          </cell>
          <cell r="S395">
            <v>-446807.78</v>
          </cell>
        </row>
        <row r="396">
          <cell r="S396">
            <v>-143126.57</v>
          </cell>
        </row>
        <row r="397">
          <cell r="S397">
            <v>-143126.57</v>
          </cell>
        </row>
        <row r="398">
          <cell r="S398">
            <v>-143116.37</v>
          </cell>
        </row>
        <row r="399">
          <cell r="L399">
            <v>5006075</v>
          </cell>
          <cell r="P399" t="str">
            <v>Third Party Voice BS</v>
          </cell>
          <cell r="S399">
            <v>-26245.360000000001</v>
          </cell>
        </row>
        <row r="400">
          <cell r="L400">
            <v>5090024</v>
          </cell>
          <cell r="P400" t="str">
            <v>3rd Pty Ntin Csts BS</v>
          </cell>
          <cell r="S400">
            <v>218807.52</v>
          </cell>
        </row>
        <row r="401">
          <cell r="L401">
            <v>5090025</v>
          </cell>
          <cell r="P401" t="str">
            <v>Content Rev shre CBC</v>
          </cell>
          <cell r="S401">
            <v>-314393.11</v>
          </cell>
        </row>
        <row r="402">
          <cell r="L402">
            <v>5090027</v>
          </cell>
          <cell r="P402" t="str">
            <v>Content Dload CBC BS</v>
          </cell>
          <cell r="S402">
            <v>-21285.42</v>
          </cell>
        </row>
        <row r="403">
          <cell r="S403">
            <v>-10.199999999999999</v>
          </cell>
        </row>
        <row r="404">
          <cell r="L404">
            <v>5090070</v>
          </cell>
          <cell r="P404" t="str">
            <v>SMS Games CBC</v>
          </cell>
          <cell r="S404">
            <v>-10.199999999999999</v>
          </cell>
        </row>
        <row r="405">
          <cell r="S405">
            <v>74226.36</v>
          </cell>
        </row>
        <row r="406">
          <cell r="S406">
            <v>74226.36</v>
          </cell>
        </row>
        <row r="407">
          <cell r="S407">
            <v>74226.36</v>
          </cell>
        </row>
        <row r="408">
          <cell r="L408">
            <v>5030000</v>
          </cell>
          <cell r="P408" t="str">
            <v>Connection rev VBC</v>
          </cell>
          <cell r="S408">
            <v>74226.36</v>
          </cell>
        </row>
        <row r="409">
          <cell r="S409">
            <v>-121084.21</v>
          </cell>
        </row>
        <row r="410">
          <cell r="S410">
            <v>-121084.21</v>
          </cell>
        </row>
        <row r="411">
          <cell r="S411">
            <v>-121084.21</v>
          </cell>
        </row>
        <row r="412">
          <cell r="L412">
            <v>5005998</v>
          </cell>
          <cell r="P412" t="str">
            <v>Pay Ahd Telemetry BS</v>
          </cell>
          <cell r="S412">
            <v>-9804</v>
          </cell>
        </row>
        <row r="413">
          <cell r="L413">
            <v>5005999</v>
          </cell>
          <cell r="P413" t="str">
            <v>Retail Telemetry BS</v>
          </cell>
          <cell r="S413">
            <v>-45232.7</v>
          </cell>
        </row>
        <row r="414">
          <cell r="L414">
            <v>5006000</v>
          </cell>
          <cell r="P414" t="str">
            <v>Telemetry NCO</v>
          </cell>
          <cell r="S414">
            <v>-66047.509999999995</v>
          </cell>
        </row>
        <row r="415">
          <cell r="S415">
            <v>-25248075.719999999</v>
          </cell>
        </row>
        <row r="416">
          <cell r="S416">
            <v>-49355.29</v>
          </cell>
        </row>
        <row r="417">
          <cell r="S417">
            <v>16628.45</v>
          </cell>
        </row>
        <row r="418">
          <cell r="S418">
            <v>1280.72</v>
          </cell>
        </row>
        <row r="419">
          <cell r="S419">
            <v>0.01</v>
          </cell>
        </row>
        <row r="420">
          <cell r="S420">
            <v>0.01</v>
          </cell>
        </row>
        <row r="421">
          <cell r="S421">
            <v>320527</v>
          </cell>
        </row>
        <row r="422">
          <cell r="S422">
            <v>-12988351.369999999</v>
          </cell>
        </row>
        <row r="423">
          <cell r="S423">
            <v>-17307588.719999999</v>
          </cell>
        </row>
        <row r="424">
          <cell r="S424">
            <v>1974171.97</v>
          </cell>
        </row>
        <row r="425">
          <cell r="S425">
            <v>1639690.09</v>
          </cell>
        </row>
        <row r="426">
          <cell r="S426">
            <v>4299801.0199999996</v>
          </cell>
        </row>
        <row r="427">
          <cell r="S427">
            <v>-2060214.75</v>
          </cell>
        </row>
        <row r="428">
          <cell r="S428">
            <v>343866.25</v>
          </cell>
        </row>
        <row r="429">
          <cell r="S429">
            <v>43107.71</v>
          </cell>
        </row>
        <row r="430">
          <cell r="S430">
            <v>-77887.210000000006</v>
          </cell>
        </row>
        <row r="431">
          <cell r="S431">
            <v>35731.870000000003</v>
          </cell>
        </row>
        <row r="432">
          <cell r="S432">
            <v>-2943376.48</v>
          </cell>
        </row>
        <row r="433">
          <cell r="S433">
            <v>1312502.8899999999</v>
          </cell>
        </row>
        <row r="434">
          <cell r="S434">
            <v>251268.13</v>
          </cell>
        </row>
        <row r="435">
          <cell r="S435">
            <v>-59878.02</v>
          </cell>
        </row>
        <row r="436">
          <cell r="S436">
            <v>137886.23000000001</v>
          </cell>
        </row>
        <row r="437">
          <cell r="S437">
            <v>6139</v>
          </cell>
        </row>
        <row r="438">
          <cell r="S438">
            <v>1182.25</v>
          </cell>
        </row>
        <row r="439">
          <cell r="S439">
            <v>-1397770.84</v>
          </cell>
        </row>
        <row r="440">
          <cell r="S440">
            <v>617888.23</v>
          </cell>
        </row>
        <row r="441">
          <cell r="S441">
            <v>133080.69</v>
          </cell>
        </row>
        <row r="442">
          <cell r="S442">
            <v>-55457.53</v>
          </cell>
        </row>
        <row r="443">
          <cell r="S443">
            <v>-1413.55</v>
          </cell>
        </row>
        <row r="444">
          <cell r="S444">
            <v>834237.98</v>
          </cell>
        </row>
        <row r="445">
          <cell r="S445">
            <v>158241930.09</v>
          </cell>
        </row>
        <row r="446">
          <cell r="S446">
            <v>-4273138.5599999996</v>
          </cell>
        </row>
        <row r="447">
          <cell r="S447">
            <v>-316360.90000000002</v>
          </cell>
        </row>
        <row r="448">
          <cell r="S448">
            <v>-3975194.2</v>
          </cell>
        </row>
        <row r="449">
          <cell r="S449">
            <v>3496.64</v>
          </cell>
        </row>
        <row r="450">
          <cell r="S450">
            <v>14919.9</v>
          </cell>
        </row>
        <row r="451">
          <cell r="S451">
            <v>1789300</v>
          </cell>
        </row>
        <row r="452">
          <cell r="S452">
            <v>2687900</v>
          </cell>
        </row>
        <row r="453">
          <cell r="S453">
            <v>-2687900</v>
          </cell>
        </row>
        <row r="454">
          <cell r="S454">
            <v>-1789300</v>
          </cell>
        </row>
        <row r="455">
          <cell r="S455">
            <v>66928809.18</v>
          </cell>
        </row>
        <row r="456">
          <cell r="S456">
            <v>8196068.0999999996</v>
          </cell>
        </row>
        <row r="457">
          <cell r="S457">
            <v>7945002.3200000003</v>
          </cell>
        </row>
        <row r="458">
          <cell r="S458">
            <v>4546231.4000000004</v>
          </cell>
        </row>
        <row r="459">
          <cell r="L459">
            <v>6030100</v>
          </cell>
          <cell r="N459" t="str">
            <v>I/CNat.FixedLine</v>
          </cell>
          <cell r="S459">
            <v>608482.16</v>
          </cell>
        </row>
        <row r="460">
          <cell r="L460">
            <v>6030120</v>
          </cell>
          <cell r="N460" t="str">
            <v>I/C Int.Costs BusSol</v>
          </cell>
          <cell r="S460">
            <v>124076.75</v>
          </cell>
        </row>
        <row r="461">
          <cell r="L461">
            <v>6030130</v>
          </cell>
          <cell r="N461" t="str">
            <v>I/C MNP.Costs BusSol</v>
          </cell>
          <cell r="S461">
            <v>295979</v>
          </cell>
        </row>
        <row r="462">
          <cell r="L462">
            <v>6030170</v>
          </cell>
          <cell r="N462" t="str">
            <v>I/C Nat.MobCostBusso</v>
          </cell>
          <cell r="S462">
            <v>3517693.49</v>
          </cell>
        </row>
        <row r="463">
          <cell r="S463">
            <v>2987705</v>
          </cell>
        </row>
        <row r="464">
          <cell r="L464">
            <v>6030139</v>
          </cell>
          <cell r="N464" t="str">
            <v>Rm Term Intr Con BS</v>
          </cell>
          <cell r="S464">
            <v>228176</v>
          </cell>
        </row>
        <row r="465">
          <cell r="L465">
            <v>6030140</v>
          </cell>
          <cell r="N465" t="str">
            <v>R.C -B-Sol -MOC</v>
          </cell>
          <cell r="S465">
            <v>2579658</v>
          </cell>
        </row>
        <row r="466">
          <cell r="L466">
            <v>6030141</v>
          </cell>
          <cell r="N466" t="str">
            <v>R.C -B-Sol-MTC</v>
          </cell>
          <cell r="S466">
            <v>55176</v>
          </cell>
        </row>
        <row r="467">
          <cell r="L467">
            <v>6030142</v>
          </cell>
          <cell r="N467" t="str">
            <v>R.C B Sol Signalling</v>
          </cell>
          <cell r="S467">
            <v>28406</v>
          </cell>
        </row>
        <row r="468">
          <cell r="L468">
            <v>6030143</v>
          </cell>
          <cell r="N468" t="str">
            <v>RC-Cons-PAYM-GPRS</v>
          </cell>
          <cell r="S468">
            <v>89255</v>
          </cell>
        </row>
        <row r="469">
          <cell r="L469">
            <v>6030145</v>
          </cell>
          <cell r="N469" t="str">
            <v>R.C B Sol Admin</v>
          </cell>
          <cell r="S469">
            <v>7034</v>
          </cell>
        </row>
        <row r="470">
          <cell r="S470">
            <v>411065.92</v>
          </cell>
        </row>
        <row r="471">
          <cell r="L471">
            <v>6030144</v>
          </cell>
          <cell r="N471" t="str">
            <v>R.C -B Sol -SMS</v>
          </cell>
          <cell r="S471">
            <v>99761</v>
          </cell>
        </row>
        <row r="472">
          <cell r="L472">
            <v>6060000</v>
          </cell>
          <cell r="N472" t="str">
            <v>I/CNatSMSCostsBussol</v>
          </cell>
          <cell r="S472">
            <v>311304.92</v>
          </cell>
        </row>
        <row r="473">
          <cell r="S473">
            <v>251065.78</v>
          </cell>
        </row>
        <row r="474">
          <cell r="S474">
            <v>58300.81</v>
          </cell>
        </row>
        <row r="475">
          <cell r="L475">
            <v>6030017</v>
          </cell>
          <cell r="N475" t="str">
            <v>sales and service</v>
          </cell>
          <cell r="S475">
            <v>58300.81</v>
          </cell>
        </row>
        <row r="476">
          <cell r="S476">
            <v>192764.97</v>
          </cell>
        </row>
        <row r="477">
          <cell r="L477">
            <v>6030000</v>
          </cell>
          <cell r="N477" t="str">
            <v>I/CBureauCostsBussol</v>
          </cell>
          <cell r="S477">
            <v>192764.97</v>
          </cell>
        </row>
        <row r="478">
          <cell r="S478">
            <v>58732741.079999998</v>
          </cell>
        </row>
        <row r="479">
          <cell r="S479">
            <v>35961047.960000001</v>
          </cell>
        </row>
        <row r="480">
          <cell r="S480">
            <v>2108224.9300000002</v>
          </cell>
        </row>
        <row r="481">
          <cell r="S481">
            <v>712674.52</v>
          </cell>
        </row>
        <row r="482">
          <cell r="L482">
            <v>6000000</v>
          </cell>
          <cell r="O482" t="str">
            <v>I/C Bureau Costs Con</v>
          </cell>
          <cell r="S482">
            <v>712674.52</v>
          </cell>
        </row>
        <row r="483">
          <cell r="S483">
            <v>1395550.41</v>
          </cell>
        </row>
        <row r="484">
          <cell r="L484">
            <v>6000080</v>
          </cell>
          <cell r="O484" t="str">
            <v>Web Specific Cnt CCC</v>
          </cell>
          <cell r="S484">
            <v>0.3</v>
          </cell>
        </row>
        <row r="485">
          <cell r="L485">
            <v>6000085</v>
          </cell>
          <cell r="O485" t="str">
            <v>Common Content CCC</v>
          </cell>
          <cell r="S485">
            <v>178982.64</v>
          </cell>
        </row>
        <row r="486">
          <cell r="L486">
            <v>6000090</v>
          </cell>
          <cell r="O486" t="str">
            <v>Cont Costs - Rev Sha</v>
          </cell>
          <cell r="S486">
            <v>1216567.47</v>
          </cell>
        </row>
        <row r="487">
          <cell r="S487">
            <v>33852823.030000001</v>
          </cell>
        </row>
        <row r="488">
          <cell r="S488">
            <v>19309688.329999998</v>
          </cell>
        </row>
        <row r="489">
          <cell r="L489">
            <v>6001002</v>
          </cell>
          <cell r="O489" t="str">
            <v>I/C Voice Control</v>
          </cell>
          <cell r="S489">
            <v>10640.37</v>
          </cell>
        </row>
        <row r="490">
          <cell r="L490">
            <v>6001003</v>
          </cell>
          <cell r="O490" t="str">
            <v>I/CInt.VoiceCost Con</v>
          </cell>
          <cell r="S490">
            <v>259127.63</v>
          </cell>
        </row>
        <row r="491">
          <cell r="L491">
            <v>6001005</v>
          </cell>
          <cell r="O491" t="str">
            <v>I/C MNP Costs Con</v>
          </cell>
          <cell r="S491">
            <v>-748022.5</v>
          </cell>
        </row>
        <row r="492">
          <cell r="L492">
            <v>6001021</v>
          </cell>
          <cell r="O492" t="str">
            <v>I/C Nat.FixedLineCon</v>
          </cell>
          <cell r="S492">
            <v>2964412</v>
          </cell>
        </row>
        <row r="493">
          <cell r="L493">
            <v>6001022</v>
          </cell>
          <cell r="O493" t="str">
            <v>I/CNat.MobileCostCon</v>
          </cell>
          <cell r="S493">
            <v>15807900.359999999</v>
          </cell>
        </row>
        <row r="494">
          <cell r="L494">
            <v>6001026</v>
          </cell>
          <cell r="O494" t="str">
            <v>I/C DCC Costs Con</v>
          </cell>
          <cell r="S494">
            <v>1015630.47</v>
          </cell>
        </row>
        <row r="495">
          <cell r="S495">
            <v>7755767.3099999996</v>
          </cell>
        </row>
        <row r="496">
          <cell r="L496">
            <v>6000997</v>
          </cell>
          <cell r="O496" t="str">
            <v>RC-Cons-PAYM-FX</v>
          </cell>
          <cell r="S496">
            <v>1</v>
          </cell>
        </row>
        <row r="497">
          <cell r="L497">
            <v>6000999</v>
          </cell>
          <cell r="O497" t="str">
            <v>Rm Term Intr Con</v>
          </cell>
          <cell r="S497">
            <v>691467.95</v>
          </cell>
        </row>
        <row r="498">
          <cell r="L498">
            <v>6001001</v>
          </cell>
          <cell r="O498" t="str">
            <v>RC-Cons-PAYM-MTC</v>
          </cell>
          <cell r="S498">
            <v>168067</v>
          </cell>
        </row>
        <row r="499">
          <cell r="L499">
            <v>6001007</v>
          </cell>
          <cell r="O499" t="str">
            <v>RC-Cons-PAYM-MOC</v>
          </cell>
          <cell r="S499">
            <v>6579935.8399999999</v>
          </cell>
        </row>
        <row r="500">
          <cell r="L500">
            <v>6001011</v>
          </cell>
          <cell r="O500" t="str">
            <v>RC-B Sol-PAYM-FX</v>
          </cell>
          <cell r="S500">
            <v>1</v>
          </cell>
        </row>
        <row r="501">
          <cell r="L501">
            <v>6001013</v>
          </cell>
          <cell r="O501" t="str">
            <v>RC-Cons-PAYM-Signal</v>
          </cell>
          <cell r="S501">
            <v>56811.6</v>
          </cell>
        </row>
        <row r="502">
          <cell r="L502">
            <v>6001014</v>
          </cell>
          <cell r="O502" t="str">
            <v>RC-Cons-PAYM-Admin</v>
          </cell>
          <cell r="S502">
            <v>31653.919999999998</v>
          </cell>
        </row>
        <row r="503">
          <cell r="L503">
            <v>6001016</v>
          </cell>
          <cell r="O503" t="str">
            <v>RC-Cons-PAYM-GPRS</v>
          </cell>
          <cell r="S503">
            <v>227829</v>
          </cell>
        </row>
        <row r="504">
          <cell r="S504">
            <v>6055708.8099999996</v>
          </cell>
        </row>
        <row r="505">
          <cell r="L505">
            <v>6001004</v>
          </cell>
          <cell r="O505" t="str">
            <v>RC-Cons-PAYM-SMS</v>
          </cell>
          <cell r="S505">
            <v>677874</v>
          </cell>
        </row>
        <row r="506">
          <cell r="L506">
            <v>6001023</v>
          </cell>
          <cell r="O506" t="str">
            <v>I/C Nat.SMS CostsCon</v>
          </cell>
          <cell r="S506">
            <v>5377834.8099999996</v>
          </cell>
        </row>
        <row r="507">
          <cell r="S507">
            <v>731658.58</v>
          </cell>
        </row>
        <row r="508">
          <cell r="L508">
            <v>6001029</v>
          </cell>
          <cell r="O508" t="str">
            <v>I/C VIR</v>
          </cell>
          <cell r="S508">
            <v>731658.58</v>
          </cell>
        </row>
        <row r="509">
          <cell r="S509">
            <v>15859030.98</v>
          </cell>
        </row>
        <row r="510">
          <cell r="S510">
            <v>10948590.49</v>
          </cell>
        </row>
        <row r="511">
          <cell r="S511">
            <v>4125722.59</v>
          </cell>
        </row>
        <row r="512">
          <cell r="L512">
            <v>6001032</v>
          </cell>
          <cell r="O512" t="str">
            <v>I/C Core Voice Mob</v>
          </cell>
          <cell r="S512">
            <v>2012982.06</v>
          </cell>
        </row>
        <row r="513">
          <cell r="L513">
            <v>6001033</v>
          </cell>
          <cell r="O513" t="str">
            <v>I/C Core Voice Fixed</v>
          </cell>
          <cell r="S513">
            <v>1064213.75</v>
          </cell>
        </row>
        <row r="514">
          <cell r="L514">
            <v>6001034</v>
          </cell>
          <cell r="O514" t="str">
            <v>I/C IDD</v>
          </cell>
          <cell r="S514">
            <v>1048526.78</v>
          </cell>
        </row>
        <row r="515">
          <cell r="S515">
            <v>1387102.64</v>
          </cell>
        </row>
        <row r="516">
          <cell r="L516">
            <v>6001035</v>
          </cell>
          <cell r="O516" t="str">
            <v>RC-Cons-PAYG-MOC</v>
          </cell>
          <cell r="S516">
            <v>1225123</v>
          </cell>
        </row>
        <row r="517">
          <cell r="L517">
            <v>6001039</v>
          </cell>
          <cell r="O517" t="str">
            <v>Rm Ter Intr Con PAYG</v>
          </cell>
          <cell r="S517">
            <v>161978.64000000001</v>
          </cell>
        </row>
        <row r="518">
          <cell r="L518">
            <v>6001046</v>
          </cell>
          <cell r="O518" t="str">
            <v>RC-Cons-PAYG-FX</v>
          </cell>
          <cell r="S518">
            <v>1</v>
          </cell>
        </row>
        <row r="519">
          <cell r="S519">
            <v>5250558.21</v>
          </cell>
        </row>
        <row r="520">
          <cell r="L520">
            <v>6001036</v>
          </cell>
          <cell r="O520" t="str">
            <v>RC-Cons-PAYG-SMS</v>
          </cell>
          <cell r="S520">
            <v>5079788.21</v>
          </cell>
        </row>
        <row r="521">
          <cell r="L521">
            <v>6001041</v>
          </cell>
          <cell r="O521" t="str">
            <v>RC-Cons-PAYG-MTC</v>
          </cell>
          <cell r="S521">
            <v>39846</v>
          </cell>
        </row>
        <row r="522">
          <cell r="L522">
            <v>6001042</v>
          </cell>
          <cell r="O522" t="str">
            <v>RC-Cons-PAYG-Admin</v>
          </cell>
          <cell r="S522">
            <v>31653</v>
          </cell>
        </row>
        <row r="523">
          <cell r="L523">
            <v>6001043</v>
          </cell>
          <cell r="O523" t="str">
            <v>RC-Cons-PAYG-Signal</v>
          </cell>
          <cell r="S523">
            <v>56812</v>
          </cell>
        </row>
        <row r="524">
          <cell r="L524">
            <v>6001044</v>
          </cell>
          <cell r="O524" t="str">
            <v>RC-Cons-PAYG-GPRS</v>
          </cell>
          <cell r="S524">
            <v>42459</v>
          </cell>
        </row>
        <row r="525">
          <cell r="S525">
            <v>185207.05</v>
          </cell>
        </row>
        <row r="526">
          <cell r="L526">
            <v>6001037</v>
          </cell>
          <cell r="O526" t="str">
            <v>I/C VIR</v>
          </cell>
          <cell r="S526">
            <v>185207.05</v>
          </cell>
        </row>
        <row r="527">
          <cell r="S527">
            <v>4910440.49</v>
          </cell>
        </row>
        <row r="528">
          <cell r="S528">
            <v>285672.21000000002</v>
          </cell>
        </row>
        <row r="529">
          <cell r="L529">
            <v>6001038</v>
          </cell>
          <cell r="O529" t="str">
            <v>I/C Data Content</v>
          </cell>
          <cell r="S529">
            <v>285672.21000000002</v>
          </cell>
        </row>
        <row r="530">
          <cell r="S530">
            <v>4624768.28</v>
          </cell>
        </row>
        <row r="531">
          <cell r="L531">
            <v>6000002</v>
          </cell>
          <cell r="O531" t="str">
            <v>JT Dealer Comm Cons</v>
          </cell>
          <cell r="S531">
            <v>184094.22</v>
          </cell>
        </row>
        <row r="532">
          <cell r="L532">
            <v>6000005</v>
          </cell>
          <cell r="O532" t="str">
            <v>JT Topup Card Comm</v>
          </cell>
          <cell r="S532">
            <v>4440674.0599999996</v>
          </cell>
        </row>
        <row r="533">
          <cell r="S533">
            <v>6912662.1399999997</v>
          </cell>
        </row>
        <row r="534">
          <cell r="S534">
            <v>182385.39</v>
          </cell>
        </row>
        <row r="535">
          <cell r="S535">
            <v>182385.39</v>
          </cell>
        </row>
        <row r="536">
          <cell r="L536">
            <v>6001031</v>
          </cell>
          <cell r="O536" t="str">
            <v>I/C Data Content</v>
          </cell>
          <cell r="S536">
            <v>182385.39</v>
          </cell>
        </row>
        <row r="537">
          <cell r="S537">
            <v>6730276.75</v>
          </cell>
        </row>
        <row r="538">
          <cell r="S538">
            <v>3692000.67</v>
          </cell>
        </row>
        <row r="539">
          <cell r="L539">
            <v>6010121</v>
          </cell>
          <cell r="O539" t="str">
            <v>I/C IDD</v>
          </cell>
          <cell r="S539">
            <v>65757.440000000002</v>
          </cell>
        </row>
        <row r="540">
          <cell r="L540">
            <v>6010151</v>
          </cell>
          <cell r="O540" t="str">
            <v>I/C Core Voice Fixed</v>
          </cell>
          <cell r="S540">
            <v>471424.48</v>
          </cell>
        </row>
        <row r="541">
          <cell r="L541">
            <v>6010171</v>
          </cell>
          <cell r="O541" t="str">
            <v>I/C Core Voice Mob</v>
          </cell>
          <cell r="S541">
            <v>3154818.75</v>
          </cell>
        </row>
        <row r="542">
          <cell r="S542">
            <v>2415900</v>
          </cell>
        </row>
        <row r="543">
          <cell r="L543">
            <v>6010141</v>
          </cell>
          <cell r="O543" t="str">
            <v>RC-Sm Bus-PAYM-MOC</v>
          </cell>
          <cell r="S543">
            <v>2195131</v>
          </cell>
        </row>
        <row r="544">
          <cell r="L544">
            <v>6010142</v>
          </cell>
          <cell r="O544" t="str">
            <v>Rm Term Intr Con SB</v>
          </cell>
          <cell r="S544">
            <v>220768</v>
          </cell>
        </row>
        <row r="545">
          <cell r="L545">
            <v>6010144</v>
          </cell>
          <cell r="O545" t="str">
            <v>RC-Sm Bus-PAYM-FX</v>
          </cell>
          <cell r="S545">
            <v>1</v>
          </cell>
        </row>
        <row r="546">
          <cell r="S546">
            <v>622376.07999999996</v>
          </cell>
        </row>
        <row r="547">
          <cell r="L547">
            <v>6039996</v>
          </cell>
          <cell r="O547" t="str">
            <v>RC-Sm Bus-PAYM-GPRS</v>
          </cell>
          <cell r="S547">
            <v>75847</v>
          </cell>
        </row>
        <row r="548">
          <cell r="L548">
            <v>6039999</v>
          </cell>
          <cell r="O548" t="str">
            <v>RC-Sm Bus-PAYM-MTC</v>
          </cell>
          <cell r="S548">
            <v>53256</v>
          </cell>
        </row>
        <row r="549">
          <cell r="L549">
            <v>6040001</v>
          </cell>
          <cell r="O549" t="str">
            <v>RC-Sm Bus-PAYM-SMS</v>
          </cell>
          <cell r="S549">
            <v>493273.08</v>
          </cell>
        </row>
        <row r="550">
          <cell r="S550">
            <v>24035004.280000001</v>
          </cell>
        </row>
        <row r="551">
          <cell r="S551">
            <v>17809.68</v>
          </cell>
        </row>
        <row r="552">
          <cell r="S552">
            <v>25610.93</v>
          </cell>
        </row>
        <row r="553">
          <cell r="S553">
            <v>84030</v>
          </cell>
        </row>
        <row r="554">
          <cell r="S554">
            <v>902792.43</v>
          </cell>
        </row>
        <row r="555">
          <cell r="S555">
            <v>3615</v>
          </cell>
        </row>
        <row r="556">
          <cell r="S556">
            <v>9735813</v>
          </cell>
        </row>
        <row r="557">
          <cell r="S557">
            <v>16197933.859999999</v>
          </cell>
        </row>
        <row r="558">
          <cell r="S558">
            <v>-2752891.49</v>
          </cell>
        </row>
        <row r="559">
          <cell r="S559">
            <v>-4484470.8600000003</v>
          </cell>
        </row>
        <row r="560">
          <cell r="S560">
            <v>1916027</v>
          </cell>
        </row>
        <row r="561">
          <cell r="S561">
            <v>-526668.99</v>
          </cell>
        </row>
        <row r="562">
          <cell r="S562">
            <v>45580</v>
          </cell>
        </row>
        <row r="563">
          <cell r="S563">
            <v>2590052.64</v>
          </cell>
        </row>
        <row r="564">
          <cell r="S564">
            <v>6765</v>
          </cell>
        </row>
        <row r="565">
          <cell r="S565">
            <v>273006.08000000002</v>
          </cell>
        </row>
        <row r="566">
          <cell r="S566">
            <v>36486087.240000002</v>
          </cell>
        </row>
        <row r="567">
          <cell r="S567">
            <v>-0.01</v>
          </cell>
        </row>
        <row r="568">
          <cell r="S568">
            <v>8726492</v>
          </cell>
        </row>
        <row r="569">
          <cell r="S569">
            <v>-9138540</v>
          </cell>
        </row>
        <row r="570">
          <cell r="S570">
            <v>-3293826.33</v>
          </cell>
        </row>
        <row r="571">
          <cell r="S571">
            <v>-1146900</v>
          </cell>
        </row>
        <row r="572">
          <cell r="S572">
            <v>-1612778.96</v>
          </cell>
        </row>
        <row r="573">
          <cell r="S573">
            <v>1014660.57</v>
          </cell>
        </row>
        <row r="574">
          <cell r="S574">
            <v>3066615.59</v>
          </cell>
        </row>
        <row r="575">
          <cell r="S575">
            <v>17735070.059999999</v>
          </cell>
        </row>
        <row r="576">
          <cell r="S576">
            <v>8004936</v>
          </cell>
        </row>
        <row r="577">
          <cell r="S577">
            <v>55385</v>
          </cell>
        </row>
        <row r="578">
          <cell r="S578">
            <v>551249.23</v>
          </cell>
        </row>
        <row r="579">
          <cell r="S579">
            <v>-307830</v>
          </cell>
        </row>
        <row r="580">
          <cell r="S580">
            <v>485475.1</v>
          </cell>
        </row>
        <row r="581">
          <cell r="S581">
            <v>429972</v>
          </cell>
        </row>
        <row r="582">
          <cell r="S582">
            <v>2903945.1</v>
          </cell>
        </row>
        <row r="583">
          <cell r="S583">
            <v>802180</v>
          </cell>
        </row>
        <row r="584">
          <cell r="S584">
            <v>-21895.9</v>
          </cell>
        </row>
        <row r="585">
          <cell r="S585">
            <v>-18279.02</v>
          </cell>
        </row>
        <row r="586">
          <cell r="S586">
            <v>199617.93</v>
          </cell>
        </row>
        <row r="587">
          <cell r="S587">
            <v>6914555.0700000003</v>
          </cell>
        </row>
        <row r="588">
          <cell r="S588">
            <v>-1167</v>
          </cell>
        </row>
        <row r="589">
          <cell r="S589">
            <v>3800.69</v>
          </cell>
        </row>
        <row r="590">
          <cell r="S590">
            <v>21664.880000000001</v>
          </cell>
        </row>
        <row r="591">
          <cell r="S591">
            <v>18480.36</v>
          </cell>
        </row>
        <row r="592">
          <cell r="S592">
            <v>86808.79</v>
          </cell>
        </row>
        <row r="593">
          <cell r="S593">
            <v>-139170</v>
          </cell>
        </row>
        <row r="594">
          <cell r="S594">
            <v>100747</v>
          </cell>
        </row>
        <row r="595">
          <cell r="S595">
            <v>807099.66</v>
          </cell>
        </row>
        <row r="596">
          <cell r="S596">
            <v>235315</v>
          </cell>
        </row>
        <row r="597">
          <cell r="S597">
            <v>-128</v>
          </cell>
        </row>
        <row r="598">
          <cell r="S598">
            <v>-1607</v>
          </cell>
        </row>
        <row r="599">
          <cell r="S599">
            <v>1049.52</v>
          </cell>
        </row>
        <row r="600">
          <cell r="S600">
            <v>3089.91</v>
          </cell>
        </row>
        <row r="601">
          <cell r="S601">
            <v>3135151.02</v>
          </cell>
        </row>
        <row r="602">
          <cell r="S602">
            <v>2246117</v>
          </cell>
        </row>
        <row r="603">
          <cell r="S603">
            <v>387706</v>
          </cell>
        </row>
        <row r="604">
          <cell r="S604">
            <v>445314</v>
          </cell>
        </row>
        <row r="605">
          <cell r="S605">
            <v>56014.02</v>
          </cell>
        </row>
        <row r="606">
          <cell r="S606">
            <v>4543130.3499999996</v>
          </cell>
        </row>
        <row r="607">
          <cell r="S607">
            <v>41.65</v>
          </cell>
        </row>
        <row r="608">
          <cell r="S608">
            <v>146373.41</v>
          </cell>
        </row>
        <row r="609">
          <cell r="S609">
            <v>42.55</v>
          </cell>
        </row>
        <row r="610">
          <cell r="S610">
            <v>27482.66</v>
          </cell>
        </row>
        <row r="611">
          <cell r="S611">
            <v>528625</v>
          </cell>
        </row>
        <row r="612">
          <cell r="S612">
            <v>-972169.88</v>
          </cell>
        </row>
        <row r="613">
          <cell r="S613">
            <v>363905.5</v>
          </cell>
        </row>
        <row r="614">
          <cell r="S614">
            <v>922345.94</v>
          </cell>
        </row>
        <row r="615">
          <cell r="S615">
            <v>752685.29</v>
          </cell>
        </row>
        <row r="616">
          <cell r="S616">
            <v>3466687.24</v>
          </cell>
        </row>
        <row r="617">
          <cell r="S617">
            <v>-2517421</v>
          </cell>
        </row>
        <row r="618">
          <cell r="S618">
            <v>51695.7</v>
          </cell>
        </row>
        <row r="619">
          <cell r="S619">
            <v>647239.02</v>
          </cell>
        </row>
        <row r="620">
          <cell r="S620">
            <v>42788.959999999999</v>
          </cell>
        </row>
        <row r="621">
          <cell r="S621">
            <v>685911.25</v>
          </cell>
        </row>
        <row r="622">
          <cell r="S622">
            <v>29348.28</v>
          </cell>
        </row>
        <row r="623">
          <cell r="S623">
            <v>-2810.36</v>
          </cell>
        </row>
        <row r="624">
          <cell r="S624">
            <v>-14905.86</v>
          </cell>
        </row>
        <row r="625">
          <cell r="S625">
            <v>385273.45</v>
          </cell>
        </row>
        <row r="626">
          <cell r="S626">
            <v>-8.4499999999999993</v>
          </cell>
        </row>
        <row r="627">
          <cell r="S627">
            <v>27386886.579999998</v>
          </cell>
        </row>
        <row r="628">
          <cell r="S628">
            <v>17419319.039999999</v>
          </cell>
        </row>
        <row r="629">
          <cell r="M629" t="str">
            <v>SRC - Com PAYG Cons</v>
          </cell>
          <cell r="S629">
            <v>1702865.04</v>
          </cell>
        </row>
        <row r="630">
          <cell r="M630" t="str">
            <v>SRC - Commission Con</v>
          </cell>
          <cell r="S630">
            <v>1507887.3</v>
          </cell>
        </row>
        <row r="631">
          <cell r="M631" t="str">
            <v>SRC - Comm Inv Cons</v>
          </cell>
          <cell r="S631">
            <v>5381556.5499999998</v>
          </cell>
        </row>
        <row r="632">
          <cell r="M632" t="str">
            <v>SRC -Talkplan comm c</v>
          </cell>
          <cell r="S632">
            <v>7205231.1500000004</v>
          </cell>
        </row>
        <row r="633">
          <cell r="M633" t="str">
            <v>SRC - Commission SBu</v>
          </cell>
          <cell r="S633">
            <v>203268</v>
          </cell>
        </row>
        <row r="634">
          <cell r="M634" t="str">
            <v>SRC - Comm Inv SBus</v>
          </cell>
          <cell r="S634">
            <v>919740</v>
          </cell>
        </row>
        <row r="635">
          <cell r="M635" t="str">
            <v>SRC - Talkplan Comm</v>
          </cell>
          <cell r="S635">
            <v>77627</v>
          </cell>
        </row>
        <row r="636">
          <cell r="M636" t="str">
            <v>SRC - Commission Bus</v>
          </cell>
          <cell r="S636">
            <v>22987</v>
          </cell>
        </row>
        <row r="637">
          <cell r="M637" t="str">
            <v>SRC - Comm Inv Bus</v>
          </cell>
          <cell r="S637">
            <v>229112</v>
          </cell>
        </row>
        <row r="638">
          <cell r="M638" t="str">
            <v>SRC - talkplan comm</v>
          </cell>
          <cell r="S638">
            <v>169045</v>
          </cell>
        </row>
        <row r="639">
          <cell r="S639">
            <v>25568187.239999998</v>
          </cell>
        </row>
        <row r="640">
          <cell r="M640" t="str">
            <v>SRC-Hset COS PAYG Cs</v>
          </cell>
          <cell r="S640">
            <v>2634251.5699999998</v>
          </cell>
        </row>
        <row r="641">
          <cell r="M641" t="str">
            <v>SRC - Hset COS Cons</v>
          </cell>
          <cell r="S641">
            <v>18519784.890000001</v>
          </cell>
        </row>
        <row r="642">
          <cell r="M642" t="str">
            <v>SRC - Hset COS SBus</v>
          </cell>
          <cell r="S642">
            <v>3358288.72</v>
          </cell>
        </row>
        <row r="643">
          <cell r="M643" t="str">
            <v>SRC - Hset COS Bus</v>
          </cell>
          <cell r="S643">
            <v>1055862.06</v>
          </cell>
        </row>
        <row r="644">
          <cell r="S644">
            <v>1065696.1000000001</v>
          </cell>
        </row>
        <row r="645">
          <cell r="M645" t="str">
            <v>SRC - Hset Disc Cons</v>
          </cell>
          <cell r="S645">
            <v>1029086.18</v>
          </cell>
        </row>
        <row r="646">
          <cell r="M646" t="str">
            <v>SRC - Hset Disc Bus</v>
          </cell>
          <cell r="S646">
            <v>36609.919999999998</v>
          </cell>
        </row>
        <row r="647">
          <cell r="S647">
            <v>8955821.0999999996</v>
          </cell>
        </row>
        <row r="648">
          <cell r="M648" t="str">
            <v>SRC - HS FOC Dis Con</v>
          </cell>
          <cell r="S648">
            <v>8507345.8300000001</v>
          </cell>
        </row>
        <row r="649">
          <cell r="M649" t="str">
            <v>SRC - HS FOC Dis Bus</v>
          </cell>
          <cell r="S649">
            <v>448475.27</v>
          </cell>
        </row>
        <row r="650">
          <cell r="S650">
            <v>-25352424.350000001</v>
          </cell>
        </row>
        <row r="651">
          <cell r="M651" t="str">
            <v>SRC - HS FOC PAYG Cs</v>
          </cell>
          <cell r="S651">
            <v>942.65</v>
          </cell>
        </row>
        <row r="652">
          <cell r="M652" t="str">
            <v>SRC-Hset Rev PAYG Cn</v>
          </cell>
          <cell r="S652">
            <v>-3285947.24</v>
          </cell>
        </row>
        <row r="653">
          <cell r="M653" t="str">
            <v>SRC-Hset Dsc PAYG Cs</v>
          </cell>
          <cell r="S653">
            <v>75608.820000000007</v>
          </cell>
        </row>
        <row r="654">
          <cell r="M654" t="str">
            <v>SRC - Hset Rev Cons</v>
          </cell>
          <cell r="S654">
            <v>-19544175.43</v>
          </cell>
        </row>
        <row r="655">
          <cell r="M655" t="str">
            <v>SRC - Upgrade fees</v>
          </cell>
          <cell r="S655">
            <v>-953468.85</v>
          </cell>
        </row>
        <row r="656">
          <cell r="M656" t="str">
            <v>SRC Airtime Cr Con</v>
          </cell>
          <cell r="S656">
            <v>345866.86</v>
          </cell>
        </row>
        <row r="657">
          <cell r="M657" t="str">
            <v>SRC - Hset Rev SBus</v>
          </cell>
          <cell r="S657">
            <v>-945075.51</v>
          </cell>
        </row>
        <row r="658">
          <cell r="M658" t="str">
            <v>SRC - Hset Rev Bus</v>
          </cell>
          <cell r="S658">
            <v>-1046175.65</v>
          </cell>
        </row>
        <row r="659">
          <cell r="S659">
            <v>26572.45</v>
          </cell>
        </row>
        <row r="660">
          <cell r="M660" t="str">
            <v>Upgrade promo costs</v>
          </cell>
          <cell r="S660">
            <v>4473.13</v>
          </cell>
        </row>
        <row r="661">
          <cell r="M661" t="str">
            <v>Sim Migration costs</v>
          </cell>
          <cell r="S661">
            <v>22099.32</v>
          </cell>
        </row>
        <row r="662">
          <cell r="S662">
            <v>2266043.48</v>
          </cell>
        </row>
        <row r="663">
          <cell r="M663" t="str">
            <v>COS - handset kittin</v>
          </cell>
          <cell r="S663">
            <v>-153695.95000000001</v>
          </cell>
        </row>
        <row r="664">
          <cell r="M664" t="str">
            <v>RC01 Grade A PI</v>
          </cell>
          <cell r="S664">
            <v>-10</v>
          </cell>
        </row>
        <row r="665">
          <cell r="M665" t="str">
            <v>Grade A Stock Scrap</v>
          </cell>
          <cell r="S665">
            <v>29961.599999999999</v>
          </cell>
        </row>
        <row r="666">
          <cell r="M666" t="str">
            <v>Parts Stock Scrap &amp;</v>
          </cell>
          <cell r="S666">
            <v>46665.82</v>
          </cell>
        </row>
        <row r="667">
          <cell r="M667" t="str">
            <v>Grade F Stock Scrap</v>
          </cell>
          <cell r="S667">
            <v>3882.55</v>
          </cell>
        </row>
        <row r="668">
          <cell r="M668" t="str">
            <v>RC01 Grade F PI</v>
          </cell>
          <cell r="S668">
            <v>-2133.0500000000002</v>
          </cell>
        </row>
        <row r="669">
          <cell r="M669" t="str">
            <v>Postal Care costs</v>
          </cell>
          <cell r="S669">
            <v>47526.95</v>
          </cell>
        </row>
        <row r="670">
          <cell r="M670" t="str">
            <v>Grade A Write On</v>
          </cell>
          <cell r="S670">
            <v>-1846697.9</v>
          </cell>
        </row>
        <row r="671">
          <cell r="M671" t="str">
            <v>Src - Lost Stolen Re</v>
          </cell>
          <cell r="S671">
            <v>-90668.91</v>
          </cell>
        </row>
        <row r="672">
          <cell r="M672" t="str">
            <v>SRCs</v>
          </cell>
          <cell r="S672">
            <v>-108268.89</v>
          </cell>
        </row>
        <row r="673">
          <cell r="M673" t="str">
            <v>Carriage On Returns</v>
          </cell>
          <cell r="S673">
            <v>838243.32</v>
          </cell>
        </row>
        <row r="674">
          <cell r="M674" t="str">
            <v>Emergency Care</v>
          </cell>
          <cell r="S674">
            <v>-272815.40999999997</v>
          </cell>
        </row>
        <row r="675">
          <cell r="M675" t="str">
            <v>Replacement Income</v>
          </cell>
          <cell r="S675">
            <v>-272412.49</v>
          </cell>
        </row>
        <row r="676">
          <cell r="M676" t="str">
            <v>BER Write Off</v>
          </cell>
          <cell r="S676">
            <v>480161</v>
          </cell>
        </row>
        <row r="677">
          <cell r="M677" t="str">
            <v>GrF Customer Recpts</v>
          </cell>
          <cell r="S677">
            <v>-3557759.75</v>
          </cell>
        </row>
        <row r="678">
          <cell r="M678" t="str">
            <v>GrA 14DMB write on</v>
          </cell>
          <cell r="S678">
            <v>-188.45</v>
          </cell>
        </row>
        <row r="679">
          <cell r="M679" t="str">
            <v>GrA Inject write on</v>
          </cell>
          <cell r="S679">
            <v>-152473.25</v>
          </cell>
        </row>
        <row r="680">
          <cell r="M680" t="str">
            <v>GrN Inject write off</v>
          </cell>
          <cell r="S680">
            <v>475966.28</v>
          </cell>
        </row>
        <row r="681">
          <cell r="M681" t="str">
            <v>GrF Postal &amp; Unauth</v>
          </cell>
          <cell r="S681">
            <v>-125291.15</v>
          </cell>
        </row>
        <row r="682">
          <cell r="M682" t="str">
            <v>GrA 14DMB write off</v>
          </cell>
          <cell r="S682">
            <v>172.95</v>
          </cell>
        </row>
        <row r="683">
          <cell r="M683" t="str">
            <v>GrN 14DMB write off</v>
          </cell>
          <cell r="S683">
            <v>558915</v>
          </cell>
        </row>
        <row r="684">
          <cell r="M684" t="str">
            <v>GrF fm Ven write off</v>
          </cell>
          <cell r="S684">
            <v>1822429.6</v>
          </cell>
        </row>
        <row r="685">
          <cell r="M685" t="str">
            <v>GrA Post &amp; Unauth Rt</v>
          </cell>
          <cell r="S685">
            <v>-2596.52</v>
          </cell>
        </row>
        <row r="686">
          <cell r="M686" t="str">
            <v>GrF 14DMB write on</v>
          </cell>
          <cell r="S686">
            <v>-908995.2</v>
          </cell>
        </row>
        <row r="687">
          <cell r="M687" t="str">
            <v>GrA Repair write on</v>
          </cell>
          <cell r="S687">
            <v>-1709339.9</v>
          </cell>
        </row>
        <row r="688">
          <cell r="M688" t="str">
            <v>GrF Repair write off</v>
          </cell>
          <cell r="S688">
            <v>1708399.35</v>
          </cell>
        </row>
        <row r="689">
          <cell r="M689" t="str">
            <v>BER GrA (Batteries)</v>
          </cell>
          <cell r="S689">
            <v>40</v>
          </cell>
        </row>
        <row r="690">
          <cell r="M690" t="str">
            <v>Tranceiver Costs N-A</v>
          </cell>
          <cell r="S690">
            <v>-25193.05</v>
          </cell>
        </row>
        <row r="691">
          <cell r="M691" t="str">
            <v>Accessory Rtn Postal</v>
          </cell>
          <cell r="S691">
            <v>-14888</v>
          </cell>
        </row>
        <row r="692">
          <cell r="M692" t="str">
            <v>Accessory Rtn-Courie</v>
          </cell>
          <cell r="S692">
            <v>-54789</v>
          </cell>
        </row>
        <row r="693">
          <cell r="M693" t="str">
            <v>Courier Desptch/Canc</v>
          </cell>
          <cell r="S693">
            <v>4422673.47</v>
          </cell>
        </row>
        <row r="694">
          <cell r="M694" t="str">
            <v>Postal Despatch/Canc</v>
          </cell>
          <cell r="S694">
            <v>1149433.6499999999</v>
          </cell>
        </row>
        <row r="695">
          <cell r="M695" t="str">
            <v>Grade A&amp;F Provision</v>
          </cell>
          <cell r="S695">
            <v>-20211.189999999999</v>
          </cell>
        </row>
        <row r="696">
          <cell r="S696">
            <v>509808.69</v>
          </cell>
        </row>
        <row r="697">
          <cell r="M697" t="str">
            <v>Dismantled parts</v>
          </cell>
          <cell r="S697">
            <v>-1383.41</v>
          </cell>
        </row>
        <row r="698">
          <cell r="M698" t="str">
            <v>Refurbishment Parts</v>
          </cell>
          <cell r="S698">
            <v>282248.88</v>
          </cell>
        </row>
        <row r="699">
          <cell r="M699" t="str">
            <v>Refurbishment Staff</v>
          </cell>
          <cell r="S699">
            <v>228943.22</v>
          </cell>
        </row>
        <row r="700">
          <cell r="S700">
            <v>913888.67</v>
          </cell>
        </row>
        <row r="701">
          <cell r="M701" t="str">
            <v>Vendor Repair Cost</v>
          </cell>
          <cell r="S701">
            <v>673549.73</v>
          </cell>
        </row>
        <row r="702">
          <cell r="M702" t="str">
            <v>Src Repairs Revenue</v>
          </cell>
          <cell r="S702">
            <v>-610404.07999999996</v>
          </cell>
        </row>
        <row r="703">
          <cell r="M703" t="str">
            <v>Warrenty cost Centre</v>
          </cell>
          <cell r="S703">
            <v>238448.44</v>
          </cell>
        </row>
        <row r="704">
          <cell r="M704" t="str">
            <v>OPCS - repair parts</v>
          </cell>
          <cell r="S704">
            <v>592841.71</v>
          </cell>
        </row>
        <row r="705">
          <cell r="M705" t="str">
            <v>Repairs</v>
          </cell>
          <cell r="S705">
            <v>19452.87</v>
          </cell>
        </row>
        <row r="706">
          <cell r="S706">
            <v>-3986025.84</v>
          </cell>
        </row>
        <row r="707">
          <cell r="M707" t="str">
            <v>JT care insurance rc</v>
          </cell>
          <cell r="S707">
            <v>-6480</v>
          </cell>
        </row>
        <row r="708">
          <cell r="M708" t="str">
            <v>JT Care Warranty Rct</v>
          </cell>
          <cell r="S708">
            <v>-2143.8000000000002</v>
          </cell>
        </row>
        <row r="709">
          <cell r="M709" t="str">
            <v>Ins receipts Care</v>
          </cell>
          <cell r="S709">
            <v>-4124718.13</v>
          </cell>
        </row>
        <row r="710">
          <cell r="M710" t="str">
            <v>Ins premiums Care</v>
          </cell>
          <cell r="S710">
            <v>120000</v>
          </cell>
        </row>
        <row r="711">
          <cell r="M711" t="str">
            <v>Insurance Admin Fee</v>
          </cell>
          <cell r="S711">
            <v>-331335</v>
          </cell>
        </row>
        <row r="712">
          <cell r="M712" t="str">
            <v>Ins receipts Care</v>
          </cell>
          <cell r="S712">
            <v>75000</v>
          </cell>
        </row>
        <row r="713">
          <cell r="M713" t="str">
            <v>Src Other</v>
          </cell>
          <cell r="S713">
            <v>283651.09000000003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6.bin"/><Relationship Id="rId3" Type="http://schemas.openxmlformats.org/officeDocument/2006/relationships/printerSettings" Target="../printerSettings/printerSettings11.bin"/><Relationship Id="rId7" Type="http://schemas.openxmlformats.org/officeDocument/2006/relationships/printerSettings" Target="../printerSettings/printerSettings15.bin"/><Relationship Id="rId12" Type="http://schemas.openxmlformats.org/officeDocument/2006/relationships/drawing" Target="../drawings/drawing2.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4.bin"/><Relationship Id="rId11" Type="http://schemas.openxmlformats.org/officeDocument/2006/relationships/printerSettings" Target="../printerSettings/printerSettings19.bin"/><Relationship Id="rId5" Type="http://schemas.openxmlformats.org/officeDocument/2006/relationships/printerSettings" Target="../printerSettings/printerSettings13.bin"/><Relationship Id="rId10" Type="http://schemas.openxmlformats.org/officeDocument/2006/relationships/printerSettings" Target="../printerSettings/printerSettings18.bin"/><Relationship Id="rId4" Type="http://schemas.openxmlformats.org/officeDocument/2006/relationships/printerSettings" Target="../printerSettings/printerSettings12.bin"/><Relationship Id="rId9" Type="http://schemas.openxmlformats.org/officeDocument/2006/relationships/printerSettings" Target="../printerSettings/printerSettings17.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7.bin"/><Relationship Id="rId3" Type="http://schemas.openxmlformats.org/officeDocument/2006/relationships/printerSettings" Target="../printerSettings/printerSettings22.bin"/><Relationship Id="rId7" Type="http://schemas.openxmlformats.org/officeDocument/2006/relationships/printerSettings" Target="../printerSettings/printerSettings26.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 Id="rId6" Type="http://schemas.openxmlformats.org/officeDocument/2006/relationships/printerSettings" Target="../printerSettings/printerSettings25.bin"/><Relationship Id="rId5" Type="http://schemas.openxmlformats.org/officeDocument/2006/relationships/printerSettings" Target="../printerSettings/printerSettings24.bin"/><Relationship Id="rId10" Type="http://schemas.openxmlformats.org/officeDocument/2006/relationships/comments" Target="../comments1.xml"/><Relationship Id="rId4" Type="http://schemas.openxmlformats.org/officeDocument/2006/relationships/printerSettings" Target="../printerSettings/printerSettings23.bin"/><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4"/>
  </sheetPr>
  <dimension ref="A3:D16"/>
  <sheetViews>
    <sheetView showGridLines="0" topLeftCell="A4" zoomScaleNormal="100" zoomScaleSheetLayoutView="50" workbookViewId="0">
      <selection activeCell="F18" sqref="F18"/>
    </sheetView>
  </sheetViews>
  <sheetFormatPr defaultColWidth="10.28515625" defaultRowHeight="15" x14ac:dyDescent="0.2"/>
  <cols>
    <col min="1" max="1" width="6.7109375" style="17" customWidth="1"/>
    <col min="2" max="2" width="9.140625" style="17" customWidth="1"/>
    <col min="3" max="3" width="10.5703125" style="17" customWidth="1"/>
    <col min="4" max="4" width="9.7109375" style="17" customWidth="1"/>
    <col min="5" max="10" width="10.28515625" style="17"/>
    <col min="11" max="11" width="10.28515625" style="17" customWidth="1"/>
    <col min="12" max="16384" width="10.28515625" style="17"/>
  </cols>
  <sheetData>
    <row r="3" spans="1:4" ht="18" x14ac:dyDescent="0.2">
      <c r="A3" s="21"/>
    </row>
    <row r="4" spans="1:4" x14ac:dyDescent="0.2">
      <c r="A4" s="19"/>
    </row>
    <row r="5" spans="1:4" x14ac:dyDescent="0.2">
      <c r="A5" s="19"/>
    </row>
    <row r="6" spans="1:4" s="18" customFormat="1" ht="18" x14ac:dyDescent="0.2"/>
    <row r="7" spans="1:4" s="18" customFormat="1" ht="18" x14ac:dyDescent="0.2"/>
    <row r="8" spans="1:4" s="18" customFormat="1" ht="18" x14ac:dyDescent="0.2"/>
    <row r="9" spans="1:4" s="18" customFormat="1" ht="18" x14ac:dyDescent="0.2"/>
    <row r="10" spans="1:4" x14ac:dyDescent="0.2">
      <c r="A10" s="20"/>
    </row>
    <row r="11" spans="1:4" s="18" customFormat="1" ht="18" x14ac:dyDescent="0.25">
      <c r="A11" s="2"/>
      <c r="B11" s="2"/>
      <c r="C11" s="2"/>
      <c r="D11" s="2"/>
    </row>
    <row r="12" spans="1:4" s="18" customFormat="1" ht="18" customHeight="1" x14ac:dyDescent="0.2">
      <c r="A12" s="3"/>
      <c r="B12" s="4"/>
      <c r="C12" s="4"/>
      <c r="D12" s="5"/>
    </row>
    <row r="13" spans="1:4" s="18" customFormat="1" ht="18" customHeight="1" x14ac:dyDescent="0.2">
      <c r="A13" s="3"/>
      <c r="B13" s="4"/>
      <c r="C13" s="4"/>
      <c r="D13" s="5"/>
    </row>
    <row r="14" spans="1:4" s="18" customFormat="1" ht="18" x14ac:dyDescent="0.2">
      <c r="A14" s="3"/>
      <c r="B14" s="4"/>
      <c r="C14" s="4"/>
      <c r="D14" s="5"/>
    </row>
    <row r="15" spans="1:4" s="18" customFormat="1" ht="19.5" customHeight="1" x14ac:dyDescent="0.2">
      <c r="A15" s="3"/>
      <c r="B15" s="4"/>
      <c r="C15" s="4"/>
      <c r="D15" s="5"/>
    </row>
    <row r="16" spans="1:4" s="18" customFormat="1" ht="18" x14ac:dyDescent="0.2">
      <c r="A16" s="3"/>
      <c r="B16" s="6"/>
      <c r="C16" s="6"/>
      <c r="D16" s="5"/>
    </row>
  </sheetData>
  <customSheetViews>
    <customSheetView guid="{1C92A2C2-FD48-4928-AED5-9BEA6C9145FD}" scale="50" showPageBreaks="1" showGridLines="0" view="pageBreakPreview">
      <selection activeCell="E41" sqref="E41"/>
      <pageMargins left="0" right="0" top="0" bottom="0" header="0" footer="0"/>
      <printOptions horizontalCentered="1" verticalCentered="1"/>
      <pageSetup paperSize="9" orientation="landscape" r:id="rId1"/>
      <headerFooter alignWithMargins="0"/>
    </customSheetView>
    <customSheetView guid="{CD937A6C-313E-4825-9940-C75FA8D50104}" scale="50" showPageBreaks="1" showGridLines="0" view="pageBreakPreview" showRuler="0">
      <selection activeCell="E41" sqref="E41"/>
      <pageMargins left="0" right="0" top="0" bottom="0" header="0" footer="0"/>
      <printOptions horizontalCentered="1" verticalCentered="1"/>
      <pageSetup paperSize="9" orientation="landscape" r:id="rId2"/>
      <headerFooter alignWithMargins="0"/>
    </customSheetView>
    <customSheetView guid="{98F85CEF-0B27-46E0-83EC-AF3A91A8F625}" showGridLines="0" fitToPage="1" showRuler="0">
      <selection activeCell="E41" sqref="E41"/>
      <pageMargins left="0" right="0" top="0" bottom="0" header="0" footer="0"/>
      <printOptions horizontalCentered="1" verticalCentered="1"/>
      <headerFooter alignWithMargins="0"/>
    </customSheetView>
    <customSheetView guid="{FF154EE2-AC2D-430A-9754-0D28C9DDDBFB}" showGridLines="0" fitToPage="1">
      <selection activeCell="E41" sqref="E41"/>
      <pageMargins left="0" right="0" top="0" bottom="0" header="0" footer="0"/>
      <printOptions horizontalCentered="1" verticalCentered="1"/>
      <pageSetup paperSize="9" scale="40" orientation="landscape" r:id="rId3"/>
    </customSheetView>
    <customSheetView guid="{98F85CEF-0B27-46E0-83EC-AF3A91A8F625}" scale="80" showGridLines="0" showRuler="0">
      <selection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87E9DF29-B3B5-49D6-A9F9-D4136AD726FA}" scale="50" showPageBreaks="1" showGridLines="0" view="pageBreakPreview" showRuler="0">
      <selection activeCell="E41" sqref="E41"/>
      <pageMargins left="0" right="0" top="0" bottom="0" header="0" footer="0"/>
      <printOptions horizontalCentered="1" verticalCentered="1"/>
      <pageSetup paperSize="9" scale="98" orientation="landscape" r:id="rId4"/>
      <headerFooter alignWithMargins="0"/>
    </customSheetView>
    <customSheetView guid="{98F85CEF-0B27-46E0-83EC-AF3A91A8F625}" scale="80" showGridLines="0" showRuler="0">
      <selection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FF154EE2-AC2D-430A-9754-0D28C9DDDBFB}" showGridLines="0" fitToPage="1" filter="1" showAutoFilter="1">
      <pane ySplit="1" topLeftCell="A107" activePane="bottomLeft" state="frozenSplit"/>
      <selection pane="bottomLeft" activeCell="E41" sqref="E41"/>
      <pageMargins left="0" right="0" top="0" bottom="0" header="0" footer="0"/>
      <printOptions horizontalCentered="1" verticalCentered="1"/>
      <headerFooter alignWithMargins="0"/>
    </customSheetView>
    <customSheetView guid="{FF154EE2-AC2D-430A-9754-0D28C9DDDBFB}" showGridLines="0" fitToPage="1" showAutoFilter="1">
      <pane xSplit="3" ySplit="5" topLeftCell="V320" activePane="bottomRight" state="frozenSplit"/>
      <selection pane="bottomRight" activeCell="E41" sqref="E41"/>
      <pageMargins left="0" right="0" top="0" bottom="0" header="0" footer="0"/>
      <printOptions horizontalCentered="1" verticalCentered="1"/>
      <headerFooter alignWithMargins="0"/>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FF154EE2-AC2D-430A-9754-0D28C9DDDBFB}" showGridLines="0" fitToPage="1" filter="1" showAutoFilter="1">
      <pane ySplit="1" topLeftCell="A107" activePane="bottomLeft" state="frozenSplit"/>
      <selection pane="bottomLeft" activeCell="E41" sqref="E41"/>
      <pageMargins left="0" right="0" top="0" bottom="0" header="0" footer="0"/>
      <printOptions horizontalCentered="1" verticalCentered="1"/>
      <headerFooter alignWithMargins="0"/>
    </customSheetView>
    <customSheetView guid="{FF154EE2-AC2D-430A-9754-0D28C9DDDBFB}" showGridLines="0" fitToPage="1" showAutoFilter="1">
      <pane xSplit="3" ySplit="5" topLeftCell="V320" activePane="bottomRight" state="frozenSplit"/>
      <selection pane="bottomRight" activeCell="E41" sqref="E41"/>
      <pageMargins left="0" right="0" top="0" bottom="0" header="0" footer="0"/>
      <printOptions horizontalCentered="1" verticalCentered="1"/>
      <headerFooter alignWithMargins="0"/>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2817BE2F-7DEF-4D72-A351-413E65CABEE2}" scale="50" showPageBreaks="1" showGridLines="0" view="pageBreakPreview">
      <selection activeCell="E41" sqref="E41"/>
      <pageMargins left="0" right="0" top="0" bottom="0" header="0" footer="0"/>
      <printOptions horizontalCentered="1" verticalCentered="1"/>
      <pageSetup paperSize="9" scale="98" orientation="landscape" r:id="rId5"/>
      <headerFooter alignWithMargins="0"/>
    </customSheetView>
    <customSheetView guid="{FF154EE2-AC2D-430A-9754-0D28C9DDDBFB}" scale="85" showGridLines="0" fitToPage="1" showAutoFilter="1" hiddenRows="1" hiddenColumns="1">
      <pane ySplit="1" topLeftCell="A13" activePane="bottomLeft" state="frozenSplit"/>
      <selection pane="bottomLeft" activeCell="E41" sqref="E41"/>
      <pageMargins left="0" right="0" top="0" bottom="0" header="0" footer="0"/>
      <printOptions horizontalCentered="1" verticalCentered="1"/>
      <headerFooter alignWithMargins="0"/>
    </customSheetView>
    <customSheetView guid="{FF154EE2-AC2D-430A-9754-0D28C9DDDBFB}" showGridLines="0" fitToPage="1">
      <pane xSplit="3" ySplit="3" topLeftCell="F127" activePane="bottomRight" state="frozenSplit"/>
      <selection pane="bottomRight" activeCell="E41" sqref="E41"/>
      <pageMargins left="0" right="0" top="0" bottom="0" header="0" footer="0"/>
      <printOptions horizontalCentered="1" verticalCentered="1"/>
      <headerFooter alignWithMargins="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80" showGridLines="0" showRuler="0">
      <selection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Ruler="0" topLeftCell="A175">
      <selection activeCell="E41" sqref="E41"/>
      <pageMargins left="0" right="0" top="0" bottom="0" header="0" footer="0"/>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Ruler="0" topLeftCell="A175">
      <selection activeCell="E41" sqref="E41"/>
      <pageMargins left="0" right="0" top="0" bottom="0" header="0" footer="0"/>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FF154EE2-AC2D-430A-9754-0D28C9DDDBFB}" scale="50" showPageBreaks="1" showGridLines="0" view="pageBreakPreview">
      <selection activeCell="E41" sqref="E41"/>
      <pageMargins left="0" right="0" top="0" bottom="0" header="0" footer="0"/>
      <printOptions horizontalCentered="1" verticalCentered="1"/>
      <headerFooter alignWithMargins="0"/>
    </customSheetView>
    <customSheetView guid="{FF154EE2-AC2D-430A-9754-0D28C9DDDBFB}" showGridLines="0" fitToPage="1">
      <pane xSplit="3" ySplit="3" topLeftCell="F127" activePane="bottomRight" state="frozenSplit"/>
      <selection pane="bottomRight" activeCell="E41" sqref="E41"/>
      <pageMargins left="0" right="0" top="0" bottom="0" header="0" footer="0"/>
      <printOptions horizontalCentered="1" verticalCentered="1"/>
      <headerFooter alignWithMargins="0"/>
    </customSheetView>
    <customSheetView guid="{FF154EE2-AC2D-430A-9754-0D28C9DDDBFB}" scale="85" showGridLines="0" fitToPage="1" showAutoFilter="1" hiddenRows="1" hiddenColumns="1">
      <pane ySplit="1" topLeftCell="A13" activePane="bottomLeft" state="frozenSplit"/>
      <selection pane="bottomLeft" activeCell="E41" sqref="E41"/>
      <pageMargins left="0" right="0" top="0" bottom="0" header="0" footer="0"/>
      <printOptions horizontalCentered="1" verticalCentered="1"/>
      <headerFooter alignWithMargins="0"/>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FF154EE2-AC2D-430A-9754-0D28C9DDDBFB}" showGridLines="0" fitToPage="1" showAutoFilter="1">
      <pane xSplit="3" ySplit="5" topLeftCell="V320" activePane="bottomRight" state="frozenSplit"/>
      <selection pane="bottomRight" activeCell="E41" sqref="E41"/>
      <pageMargins left="0" right="0" top="0" bottom="0" header="0" footer="0"/>
      <printOptions horizontalCentered="1" verticalCentered="1"/>
      <headerFooter alignWithMargins="0"/>
    </customSheetView>
    <customSheetView guid="{FF154EE2-AC2D-430A-9754-0D28C9DDDBFB}" showGridLines="0" fitToPage="1" filter="1" showAutoFilter="1">
      <pane ySplit="1" topLeftCell="A107" activePane="bottomLeft" state="frozenSplit"/>
      <selection pane="bottomLeft" activeCell="E41" sqref="E41"/>
      <pageMargins left="0" right="0" top="0" bottom="0" header="0" footer="0"/>
      <printOptions horizontalCentered="1" verticalCentered="1"/>
      <headerFooter alignWithMargins="0"/>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FF154EE2-AC2D-430A-9754-0D28C9DDDBFB}" scale="80" showGridLines="0">
      <selection activeCell="E41" sqref="E41"/>
      <pageMargins left="0" right="0" top="0" bottom="0" header="0" footer="0"/>
      <printOptions horizontalCentered="1" verticalCentered="1"/>
      <headerFooter alignWithMargins="0"/>
    </customSheetView>
    <customSheetView guid="{FF154EE2-AC2D-430A-9754-0D28C9DDDBFB}" showGridLines="0" fitToPage="1" showAutoFilter="1">
      <pane xSplit="3" ySplit="5" topLeftCell="V320" activePane="bottomRight" state="frozenSplit"/>
      <selection pane="bottomRight" activeCell="E41" sqref="E41"/>
      <pageMargins left="0" right="0" top="0" bottom="0" header="0" footer="0"/>
      <printOptions horizontalCentered="1" verticalCentered="1"/>
      <headerFooter alignWithMargins="0"/>
    </customSheetView>
    <customSheetView guid="{FF154EE2-AC2D-430A-9754-0D28C9DDDBFB}" showGridLines="0" fitToPage="1" filter="1" showAutoFilter="1">
      <pane ySplit="1" topLeftCell="A107" activePane="bottomLeft" state="frozenSplit"/>
      <selection pane="bottomLeft" activeCell="E41" sqref="E41"/>
      <pageMargins left="0" right="0" top="0" bottom="0" header="0" footer="0"/>
      <printOptions horizontalCentered="1" verticalCentered="1"/>
      <headerFooter alignWithMargins="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80" showGridLines="0" showRuler="0">
      <selection activeCell="E41" sqref="E41"/>
      <pageMargins left="0" right="0" top="0" bottom="0" header="0" footer="0"/>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80" showGridLines="0" showRuler="0">
      <selection activeCell="E41" sqref="E41"/>
      <pageMargins left="0" right="0" top="0" bottom="0" header="0" footer="0"/>
      <printOptions horizontalCentered="1" verticalCentered="1"/>
    </customSheetView>
    <customSheetView guid="{98F85CEF-0B27-46E0-83EC-AF3A91A8F625}" scale="75" showGridLines="0" fitToPage="1" showRuler="0">
      <pane ySplit="2" topLeftCell="A345" activePane="bottomLeft" state="frozen"/>
      <selection pane="bottomLeft" activeCell="E41" sqref="E41"/>
      <pageMargins left="0" right="0" top="0" bottom="0" header="0" footer="0"/>
    </customSheetView>
    <customSheetView guid="{98F85CEF-0B27-46E0-83EC-AF3A91A8F625}" scale="75" showRuler="0" topLeftCell="A175">
      <selection activeCell="E41" sqref="E41"/>
      <pageMargins left="0" right="0" top="0" bottom="0" header="0" footer="0"/>
    </customSheetView>
    <customSheetView guid="{98F85CEF-0B27-46E0-83EC-AF3A91A8F625}" scale="80" showGridLines="0" showRuler="0">
      <selection activeCell="E41" sqref="E41"/>
      <pageMargins left="0" right="0" top="0" bottom="0" header="0" footer="0"/>
    </customSheetView>
    <customSheetView guid="{C2290E76-3893-41D8-A4D2-83F52E2B89D5}" scale="50" showPageBreaks="1" showGridLines="0" view="pageBreakPreview" showRuler="0">
      <selection activeCell="E41" sqref="E41"/>
      <pageMargins left="0" right="0" top="0" bottom="0" header="0" footer="0"/>
      <printOptions horizontalCentered="1" verticalCentered="1"/>
      <pageSetup paperSize="9" orientation="landscape" r:id="rId6"/>
      <headerFooter alignWithMargins="0"/>
    </customSheetView>
    <customSheetView guid="{98F85CEF-0B27-46E0-83EC-AF3A91A8F625}" showGridLines="0" fitToPage="1" showRuler="0">
      <selection activeCell="E41" sqref="E41"/>
      <pageMargins left="0" right="0" top="0" bottom="0" header="0" footer="0"/>
      <printOptions horizontalCentered="1" verticalCentered="1"/>
      <pageSetup orientation="portrait" r:id="rId7"/>
      <headerFooter alignWithMargins="0"/>
    </customSheetView>
  </customSheetViews>
  <phoneticPr fontId="12" type="noConversion"/>
  <printOptions horizontalCentered="1" verticalCentered="1"/>
  <pageMargins left="0.75" right="0.75" top="1" bottom="1" header="0.5" footer="0.5"/>
  <pageSetup paperSize="9" orientation="landscape" r:id="rId8"/>
  <headerFooter alignWithMargins="0">
    <oddHeader>&amp;L&amp;"Calibri"&amp;11&amp;K317100This message/document has been classified as “Public”&amp;1#</oddHeader>
  </headerFooter>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pageSetUpPr fitToPage="1"/>
  </sheetPr>
  <dimension ref="A1:Y33"/>
  <sheetViews>
    <sheetView showGridLines="0" tabSelected="1" zoomScaleNormal="100" workbookViewId="0">
      <selection activeCell="E10" sqref="E10"/>
    </sheetView>
  </sheetViews>
  <sheetFormatPr defaultColWidth="9.140625" defaultRowHeight="12.75" x14ac:dyDescent="0.2"/>
  <cols>
    <col min="1" max="1" width="1.140625" style="22" customWidth="1"/>
    <col min="2" max="2" width="20.28515625" style="22" customWidth="1"/>
    <col min="3" max="3" width="7.85546875" style="22" customWidth="1"/>
    <col min="4" max="4" width="9.140625" style="22"/>
    <col min="5" max="6" width="4.7109375" style="22" customWidth="1"/>
    <col min="7" max="7" width="6.140625" style="22" customWidth="1"/>
    <col min="8" max="8" width="1.7109375" style="22" customWidth="1"/>
    <col min="9" max="9" width="18.7109375" style="22" bestFit="1" customWidth="1"/>
    <col min="10" max="11" width="7.85546875" style="22" customWidth="1"/>
    <col min="12" max="12" width="13.42578125" style="22" customWidth="1"/>
    <col min="13" max="13" width="6.140625" style="22" customWidth="1"/>
    <col min="14" max="14" width="1.7109375" style="22" customWidth="1"/>
    <col min="15" max="15" width="26.7109375" style="22" customWidth="1"/>
    <col min="16" max="17" width="7.85546875" style="22" customWidth="1"/>
    <col min="18" max="18" width="9.85546875" style="22" customWidth="1"/>
    <col min="19" max="19" width="1.7109375" style="22" customWidth="1"/>
    <col min="20" max="20" width="2.140625" style="22" customWidth="1"/>
    <col min="21" max="21" width="22" style="22" customWidth="1"/>
    <col min="22" max="22" width="11.5703125" style="22" customWidth="1"/>
    <col min="23" max="24" width="9.140625" style="22"/>
    <col min="25" max="25" width="1.7109375" style="22" customWidth="1"/>
    <col min="26" max="16384" width="9.140625" style="22"/>
  </cols>
  <sheetData>
    <row r="1" spans="1:25" ht="11.25" customHeight="1" x14ac:dyDescent="0.2">
      <c r="A1" s="126"/>
      <c r="B1" s="126"/>
      <c r="C1" s="126"/>
      <c r="D1" s="126"/>
      <c r="E1" s="126"/>
      <c r="F1" s="126"/>
      <c r="G1" s="126"/>
      <c r="H1" s="126"/>
      <c r="I1" s="126"/>
      <c r="J1" s="126"/>
      <c r="K1" s="126"/>
      <c r="L1" s="126"/>
      <c r="M1" s="126"/>
      <c r="N1" s="126"/>
      <c r="O1" s="126"/>
      <c r="P1" s="126"/>
      <c r="Q1" s="126"/>
      <c r="R1" s="126"/>
      <c r="S1" s="126"/>
      <c r="T1" s="126"/>
      <c r="U1" s="126"/>
      <c r="V1" s="126"/>
      <c r="W1" s="126"/>
      <c r="X1" s="126"/>
      <c r="Y1" s="126"/>
    </row>
    <row r="2" spans="1:25" ht="27.75" customHeight="1" x14ac:dyDescent="0.2">
      <c r="A2" s="126"/>
      <c r="B2" s="190" t="s">
        <v>0</v>
      </c>
      <c r="C2" s="191"/>
      <c r="D2" s="191"/>
      <c r="E2" s="191"/>
      <c r="F2" s="191"/>
      <c r="G2" s="192"/>
      <c r="H2" s="123"/>
      <c r="I2" s="190" t="s">
        <v>1</v>
      </c>
      <c r="J2" s="191"/>
      <c r="K2" s="191"/>
      <c r="L2" s="191"/>
      <c r="M2" s="192"/>
      <c r="N2" s="126"/>
      <c r="O2" s="187" t="s">
        <v>2</v>
      </c>
      <c r="P2" s="193"/>
      <c r="Q2" s="193"/>
      <c r="R2" s="194"/>
      <c r="S2" s="126"/>
      <c r="T2" s="129"/>
      <c r="U2" s="187" t="s">
        <v>3</v>
      </c>
      <c r="V2" s="188"/>
      <c r="W2" s="188"/>
      <c r="X2" s="189"/>
      <c r="Y2" s="126"/>
    </row>
    <row r="3" spans="1:25" x14ac:dyDescent="0.2">
      <c r="A3" s="126"/>
      <c r="B3" s="23" t="s">
        <v>4</v>
      </c>
      <c r="C3" s="24" t="s">
        <v>5</v>
      </c>
      <c r="D3" s="24" t="s">
        <v>6</v>
      </c>
      <c r="E3" s="24"/>
      <c r="G3" s="25"/>
      <c r="H3" s="124"/>
      <c r="I3" s="27" t="s">
        <v>7</v>
      </c>
      <c r="J3" s="28" t="s">
        <v>5</v>
      </c>
      <c r="K3" s="28" t="s">
        <v>6</v>
      </c>
      <c r="L3" s="28" t="s">
        <v>8</v>
      </c>
      <c r="M3" s="29"/>
      <c r="N3" s="126"/>
      <c r="O3" s="30" t="s">
        <v>9</v>
      </c>
      <c r="P3" s="31" t="s">
        <v>5</v>
      </c>
      <c r="Q3" s="31" t="s">
        <v>6</v>
      </c>
      <c r="R3" s="76"/>
      <c r="S3" s="126"/>
      <c r="T3" s="130"/>
      <c r="U3" s="30" t="s">
        <v>10</v>
      </c>
      <c r="V3" s="31" t="s">
        <v>5</v>
      </c>
      <c r="W3" s="31" t="s">
        <v>6</v>
      </c>
      <c r="X3" s="76"/>
      <c r="Y3" s="126"/>
    </row>
    <row r="4" spans="1:25" x14ac:dyDescent="0.2">
      <c r="A4" s="126"/>
      <c r="B4" s="37"/>
      <c r="D4" s="33"/>
      <c r="G4" s="32"/>
      <c r="H4" s="124"/>
      <c r="I4" s="37"/>
      <c r="M4" s="32"/>
      <c r="N4" s="126"/>
      <c r="O4" s="77"/>
      <c r="P4" s="16"/>
      <c r="Q4" s="16"/>
      <c r="R4" s="78"/>
      <c r="S4" s="127"/>
      <c r="T4" s="131"/>
      <c r="U4" s="77"/>
      <c r="V4" s="16"/>
      <c r="W4" s="16"/>
      <c r="X4" s="78"/>
      <c r="Y4" s="126"/>
    </row>
    <row r="5" spans="1:25" x14ac:dyDescent="0.2">
      <c r="A5" s="126"/>
      <c r="B5" s="34" t="s">
        <v>11</v>
      </c>
      <c r="C5" s="33">
        <f>COUNTIF('Test Cycle Plan'!$F$3:G$181,'Execution Report'!B5)</f>
        <v>10</v>
      </c>
      <c r="D5" s="79">
        <f>IF($C$13=0,0,C5/$C$13)</f>
        <v>0.35714285714285715</v>
      </c>
      <c r="E5" s="79"/>
      <c r="G5" s="80"/>
      <c r="H5" s="124"/>
      <c r="I5" s="34" t="s">
        <v>12</v>
      </c>
      <c r="J5" s="33">
        <f>COUNTIF(Defects!L$2:L$793,'Execution Report'!I5)</f>
        <v>2</v>
      </c>
      <c r="K5" s="79">
        <f>IF($J$13=0,0,J5/$J$13)</f>
        <v>1</v>
      </c>
      <c r="L5" s="35" t="str">
        <f>Reference!E3</f>
        <v>New issue raised</v>
      </c>
      <c r="M5" s="32"/>
      <c r="N5" s="126"/>
      <c r="O5" s="36" t="s">
        <v>13</v>
      </c>
      <c r="P5" s="81" cm="1">
        <f t="array" ref="P5">SUM(IF(Defects!$E$2:$E$793=O5,IF(Defects!$L$2:$L$793="NEW",1,IF(Defects!$L$2:$L$793="UNDER ANALYSIS",1,IF(Defects!$L$2:$L$793="WORKING",1,IF(Defects!$L$2:$L$793="REOPEN",1,0)))),0))</f>
        <v>2</v>
      </c>
      <c r="Q5" s="82">
        <f>IF($P$13=0,0,P5/$P$13)</f>
        <v>1</v>
      </c>
      <c r="R5" s="78"/>
      <c r="S5" s="128"/>
      <c r="T5" s="131"/>
      <c r="U5" s="54" t="s">
        <v>14</v>
      </c>
      <c r="V5" s="51">
        <f>COUNTIF(Defects!F$2:F$793,'Execution Report'!U5)</f>
        <v>0</v>
      </c>
      <c r="W5" s="52">
        <f>IF($J$13=0,0,V5/$V$13)</f>
        <v>0</v>
      </c>
      <c r="X5" s="53"/>
      <c r="Y5" s="126"/>
    </row>
    <row r="6" spans="1:25" x14ac:dyDescent="0.2">
      <c r="A6" s="126"/>
      <c r="B6" s="34" t="s">
        <v>15</v>
      </c>
      <c r="C6" s="33">
        <f>COUNTIF('Test Cycle Plan'!$F$3:G$181,'Execution Report'!B6)</f>
        <v>0</v>
      </c>
      <c r="D6" s="79">
        <f>IF($C$13=0,0,C6/$C$13)</f>
        <v>0</v>
      </c>
      <c r="E6" s="79"/>
      <c r="G6" s="80"/>
      <c r="H6" s="124"/>
      <c r="I6" s="34" t="str">
        <f>Reference!D4</f>
        <v>UNDER ANALYSIS</v>
      </c>
      <c r="J6" s="33">
        <f>COUNTIF(Defects!L$2:L$793,'Execution Report'!I6)</f>
        <v>0</v>
      </c>
      <c r="K6" s="79">
        <f t="shared" ref="K6:K12" si="0">IF($J$13=0,0,J6/$J$13)</f>
        <v>0</v>
      </c>
      <c r="L6" s="35" t="str">
        <f>Reference!E4</f>
        <v>Issue being analysed</v>
      </c>
      <c r="M6" s="32"/>
      <c r="N6" s="126"/>
      <c r="O6" s="36" t="s">
        <v>16</v>
      </c>
      <c r="P6" s="81" cm="1">
        <f t="array" ref="P6">SUM(IF(Defects!$E$2:$E$793=O6,IF(Defects!$L$2:$L$793="NEW",1,IF(Defects!$L$2:$L$793="UNDER ANALYSIS",1,IF(Defects!$L$2:$L$793="WORKING",1,IF(Defects!$L$2:$L$793="REOPEN",1,0)))),0))</f>
        <v>0</v>
      </c>
      <c r="Q6" s="82">
        <f>IF($P$13=0,0,P6/$P$13)</f>
        <v>0</v>
      </c>
      <c r="R6" s="78"/>
      <c r="S6" s="128"/>
      <c r="T6" s="131"/>
      <c r="U6" s="54" t="s">
        <v>17</v>
      </c>
      <c r="V6" s="51">
        <f>COUNTIF(Defects!F$2:F$793,'Execution Report'!U6)</f>
        <v>2</v>
      </c>
      <c r="W6" s="52">
        <f>IF($J$13=0,0,V6/$V$13)</f>
        <v>1</v>
      </c>
      <c r="X6" s="53"/>
      <c r="Y6" s="126"/>
    </row>
    <row r="7" spans="1:25" x14ac:dyDescent="0.2">
      <c r="A7" s="126"/>
      <c r="B7" s="34" t="s">
        <v>18</v>
      </c>
      <c r="C7" s="33">
        <f>COUNTIF('Test Cycle Plan'!$F$3:G$181,'Execution Report'!B7)</f>
        <v>13</v>
      </c>
      <c r="D7" s="79">
        <f>IF($C$13=0,0,C7/$C$13)</f>
        <v>0.4642857142857143</v>
      </c>
      <c r="E7" s="79"/>
      <c r="G7" s="80"/>
      <c r="H7" s="124"/>
      <c r="I7" s="34" t="str">
        <f>Reference!D5</f>
        <v>WORKING</v>
      </c>
      <c r="J7" s="33">
        <f>COUNTIF(Defects!L$2:L$793,'Execution Report'!I7)</f>
        <v>0</v>
      </c>
      <c r="K7" s="79">
        <f t="shared" si="0"/>
        <v>0</v>
      </c>
      <c r="L7" s="35" t="str">
        <f>Reference!E5</f>
        <v>Fixing defect</v>
      </c>
      <c r="M7" s="32"/>
      <c r="N7" s="126"/>
      <c r="O7" s="36" t="s">
        <v>19</v>
      </c>
      <c r="P7" s="81" cm="1">
        <f t="array" ref="P7">SUM(IF(Defects!$E$2:$E$793=O7,IF(Defects!$L$2:$L$793="NEW",1,IF(Defects!$L$2:$L$793="UNDER ANALYSIS",1,IF(Defects!$L$2:$L$793="WORKING",1,IF(Defects!$L$2:$L$793="REOPEN",1,0)))),0))</f>
        <v>0</v>
      </c>
      <c r="Q7" s="82">
        <f>IF($P$13=0,0,P7/$P$13)</f>
        <v>0</v>
      </c>
      <c r="R7" s="78"/>
      <c r="S7" s="128"/>
      <c r="T7" s="131"/>
      <c r="U7" s="54"/>
      <c r="V7" s="51"/>
      <c r="W7" s="52"/>
      <c r="X7" s="53"/>
      <c r="Y7" s="126"/>
    </row>
    <row r="8" spans="1:25" x14ac:dyDescent="0.2">
      <c r="A8" s="126"/>
      <c r="B8" s="34" t="s">
        <v>20</v>
      </c>
      <c r="C8" s="33">
        <f>COUNTIF('Test Cycle Plan'!$F$3:G$181,'Execution Report'!B8)</f>
        <v>5</v>
      </c>
      <c r="D8" s="79">
        <f>IF($C$13=0,0,C8/$C$13)</f>
        <v>0.17857142857142858</v>
      </c>
      <c r="E8" s="79"/>
      <c r="G8" s="80"/>
      <c r="H8" s="124"/>
      <c r="I8" s="34" t="str">
        <f>Reference!D6</f>
        <v>REOPEN</v>
      </c>
      <c r="J8" s="33">
        <f>COUNTIF(Defects!L$2:L$793,'Execution Report'!I8)</f>
        <v>0</v>
      </c>
      <c r="K8" s="79">
        <f t="shared" si="0"/>
        <v>0</v>
      </c>
      <c r="L8" s="35" t="str">
        <f>Reference!E6</f>
        <v>Failed in retest</v>
      </c>
      <c r="M8" s="32"/>
      <c r="N8" s="126"/>
      <c r="O8" s="36"/>
      <c r="P8" s="81"/>
      <c r="Q8" s="82"/>
      <c r="R8" s="78"/>
      <c r="S8" s="128"/>
      <c r="T8" s="131"/>
      <c r="U8" s="36"/>
      <c r="V8" s="81"/>
      <c r="W8" s="82"/>
      <c r="X8" s="78"/>
      <c r="Y8" s="126"/>
    </row>
    <row r="9" spans="1:25" x14ac:dyDescent="0.2">
      <c r="A9" s="126"/>
      <c r="B9" s="34"/>
      <c r="C9" s="33"/>
      <c r="D9" s="79"/>
      <c r="G9" s="32"/>
      <c r="H9" s="124"/>
      <c r="I9" s="34" t="str">
        <f>Reference!D7</f>
        <v>POSTPONED</v>
      </c>
      <c r="J9" s="33">
        <f>COUNTIF(Defects!L$2:L$793,'Execution Report'!I9)</f>
        <v>0</v>
      </c>
      <c r="K9" s="79">
        <f t="shared" si="0"/>
        <v>0</v>
      </c>
      <c r="L9" s="35" t="str">
        <f>Reference!E7</f>
        <v>To be evaluated later</v>
      </c>
      <c r="M9" s="32"/>
      <c r="N9" s="126"/>
      <c r="O9" s="36" t="s">
        <v>21</v>
      </c>
      <c r="P9" s="81" cm="1">
        <f t="array" ref="P9">SUM(IF(Defects!$M$2:$P$598=O9,IF(Defects!$M$2:$M$598="Service Impact",1,IF(Defects!$M$2:$M$598="No Service Impact",1)),0))</f>
        <v>0</v>
      </c>
      <c r="Q9" s="82">
        <f>SUM(P8:P9)/100</f>
        <v>0</v>
      </c>
      <c r="R9" s="78"/>
      <c r="S9" s="128"/>
      <c r="T9" s="131"/>
      <c r="U9" s="36"/>
      <c r="V9" s="81"/>
      <c r="W9" s="82"/>
      <c r="X9" s="78"/>
      <c r="Y9" s="126"/>
    </row>
    <row r="10" spans="1:25" x14ac:dyDescent="0.2">
      <c r="A10" s="126"/>
      <c r="B10" s="37"/>
      <c r="G10" s="32"/>
      <c r="H10" s="124"/>
      <c r="I10" s="34" t="str">
        <f>Reference!D8</f>
        <v>REJECTED</v>
      </c>
      <c r="J10" s="33">
        <f>COUNTIF(Defects!L$2:L$793,'Execution Report'!I10)</f>
        <v>0</v>
      </c>
      <c r="K10" s="79">
        <f t="shared" si="0"/>
        <v>0</v>
      </c>
      <c r="L10" s="35" t="str">
        <f>Reference!E8</f>
        <v>Issue was rejected</v>
      </c>
      <c r="M10" s="32"/>
      <c r="N10" s="126"/>
      <c r="O10" s="36" t="s">
        <v>22</v>
      </c>
      <c r="P10" s="81" cm="1">
        <f t="array" ref="P10">SUM(IF(Defects!$M$2:$P$598=O10,IF(Defects!$M$2:$M$598="Service Impact",1,IF(Defects!$M$2:$M$598="No Service Impact",1)),0))</f>
        <v>0</v>
      </c>
      <c r="Q10" s="82">
        <f>SUM(P9:P10)/100</f>
        <v>0</v>
      </c>
      <c r="R10" s="32"/>
      <c r="S10" s="128"/>
      <c r="T10" s="131"/>
      <c r="U10" s="37"/>
      <c r="X10" s="32"/>
      <c r="Y10" s="126"/>
    </row>
    <row r="11" spans="1:25" x14ac:dyDescent="0.2">
      <c r="A11" s="126"/>
      <c r="B11" s="38"/>
      <c r="C11" s="39"/>
      <c r="D11" s="40"/>
      <c r="E11" s="40"/>
      <c r="G11" s="32"/>
      <c r="H11" s="124"/>
      <c r="I11" s="34" t="str">
        <f>Reference!D9</f>
        <v>FIXED</v>
      </c>
      <c r="J11" s="33">
        <f>COUNTIF(Defects!L$2:L$793,'Execution Report'!I11)</f>
        <v>0</v>
      </c>
      <c r="K11" s="79">
        <f t="shared" si="0"/>
        <v>0</v>
      </c>
      <c r="L11" s="35" t="str">
        <f>Reference!E9</f>
        <v>Ready for retest</v>
      </c>
      <c r="M11" s="32"/>
      <c r="N11" s="126"/>
      <c r="O11" s="77"/>
      <c r="P11" s="16"/>
      <c r="Q11" s="16"/>
      <c r="R11" s="78"/>
      <c r="S11" s="128"/>
      <c r="T11" s="131"/>
      <c r="U11" s="77"/>
      <c r="V11" s="16"/>
      <c r="W11" s="16"/>
      <c r="X11" s="78"/>
      <c r="Y11" s="126"/>
    </row>
    <row r="12" spans="1:25" x14ac:dyDescent="0.2">
      <c r="A12" s="126"/>
      <c r="B12" s="38"/>
      <c r="C12" s="39"/>
      <c r="D12" s="40"/>
      <c r="E12" s="40"/>
      <c r="G12" s="32"/>
      <c r="H12" s="124"/>
      <c r="I12" s="34" t="str">
        <f>Reference!D10</f>
        <v>CLOSED</v>
      </c>
      <c r="J12" s="33">
        <f>COUNTIF(Defects!L$2:L$793,'Execution Report'!I12)</f>
        <v>0</v>
      </c>
      <c r="K12" s="79">
        <f t="shared" si="0"/>
        <v>0</v>
      </c>
      <c r="L12" s="35" t="str">
        <f>Reference!E10</f>
        <v>Retested OK</v>
      </c>
      <c r="M12" s="32"/>
      <c r="N12" s="126"/>
      <c r="O12" s="36"/>
      <c r="P12" s="16"/>
      <c r="Q12" s="16"/>
      <c r="R12" s="78"/>
      <c r="S12" s="128"/>
      <c r="T12" s="131"/>
      <c r="U12" s="36"/>
      <c r="V12" s="16"/>
      <c r="W12" s="16"/>
      <c r="X12" s="78"/>
      <c r="Y12" s="126"/>
    </row>
    <row r="13" spans="1:25" x14ac:dyDescent="0.2">
      <c r="A13" s="126"/>
      <c r="B13" s="41" t="s">
        <v>23</v>
      </c>
      <c r="C13" s="42">
        <f>SUM(C5:C8)</f>
        <v>28</v>
      </c>
      <c r="D13" s="43">
        <f>SUM(D5:D8)</f>
        <v>1</v>
      </c>
      <c r="E13" s="43"/>
      <c r="F13" s="44"/>
      <c r="G13" s="45"/>
      <c r="H13" s="125"/>
      <c r="I13" s="41" t="s">
        <v>23</v>
      </c>
      <c r="J13" s="42">
        <f>SUM(J5:J12)</f>
        <v>2</v>
      </c>
      <c r="K13" s="43">
        <f>SUM(K5:K12)</f>
        <v>1</v>
      </c>
      <c r="L13" s="44"/>
      <c r="M13" s="45"/>
      <c r="N13" s="126"/>
      <c r="O13" s="46" t="s">
        <v>23</v>
      </c>
      <c r="P13" s="47">
        <f>SUM(P5:P9)</f>
        <v>2</v>
      </c>
      <c r="Q13" s="48">
        <f>SUM(Q5:Q9)</f>
        <v>1</v>
      </c>
      <c r="R13" s="83"/>
      <c r="S13" s="128"/>
      <c r="T13" s="131"/>
      <c r="U13" s="46" t="s">
        <v>23</v>
      </c>
      <c r="V13" s="47">
        <f>SUM(V5:V9)</f>
        <v>2</v>
      </c>
      <c r="W13" s="48">
        <f>SUM(W5:W9)</f>
        <v>1</v>
      </c>
      <c r="X13" s="83"/>
      <c r="Y13" s="126"/>
    </row>
    <row r="14" spans="1:25" ht="12.75" customHeight="1" x14ac:dyDescent="0.2">
      <c r="A14" s="126"/>
      <c r="B14" s="126"/>
      <c r="C14" s="126"/>
      <c r="D14" s="126"/>
      <c r="E14" s="126"/>
      <c r="F14" s="126"/>
      <c r="G14" s="126"/>
      <c r="H14" s="126"/>
      <c r="I14" s="126"/>
      <c r="J14" s="126"/>
      <c r="K14" s="126"/>
      <c r="L14" s="126"/>
      <c r="M14" s="126"/>
      <c r="N14" s="126"/>
      <c r="O14" s="126"/>
      <c r="P14" s="126"/>
      <c r="Q14" s="126"/>
      <c r="R14" s="126"/>
      <c r="S14" s="128"/>
      <c r="T14" s="131"/>
      <c r="Y14" s="126"/>
    </row>
    <row r="15" spans="1:25" x14ac:dyDescent="0.2">
      <c r="A15" s="126"/>
      <c r="H15" s="126"/>
      <c r="M15" s="126"/>
      <c r="N15" s="126"/>
      <c r="S15" s="128"/>
      <c r="T15" s="131"/>
      <c r="Y15" s="126"/>
    </row>
    <row r="16" spans="1:25" x14ac:dyDescent="0.2">
      <c r="A16" s="126"/>
      <c r="H16" s="126"/>
      <c r="M16" s="126"/>
      <c r="N16" s="126"/>
      <c r="S16" s="128"/>
      <c r="T16" s="131"/>
      <c r="Y16" s="126"/>
    </row>
    <row r="17" spans="1:25" x14ac:dyDescent="0.2">
      <c r="A17" s="126"/>
      <c r="H17" s="126"/>
      <c r="M17" s="126"/>
      <c r="N17" s="126"/>
      <c r="S17" s="124"/>
      <c r="T17" s="131"/>
      <c r="Y17" s="126"/>
    </row>
    <row r="18" spans="1:25" x14ac:dyDescent="0.2">
      <c r="A18" s="126"/>
      <c r="H18" s="126"/>
      <c r="M18" s="126"/>
      <c r="N18" s="126"/>
      <c r="S18" s="124"/>
      <c r="T18" s="131"/>
      <c r="Y18" s="126"/>
    </row>
    <row r="19" spans="1:25" x14ac:dyDescent="0.2">
      <c r="A19" s="126"/>
      <c r="H19" s="126"/>
      <c r="M19" s="126"/>
      <c r="N19" s="126"/>
      <c r="S19" s="124"/>
      <c r="T19" s="131"/>
      <c r="Y19" s="126"/>
    </row>
    <row r="20" spans="1:25" x14ac:dyDescent="0.2">
      <c r="A20" s="126"/>
      <c r="H20" s="126"/>
      <c r="M20" s="126"/>
      <c r="N20" s="126"/>
      <c r="S20" s="124"/>
      <c r="T20" s="126"/>
      <c r="Y20" s="126"/>
    </row>
    <row r="21" spans="1:25" x14ac:dyDescent="0.2">
      <c r="A21" s="126"/>
      <c r="H21" s="126"/>
      <c r="M21" s="126"/>
      <c r="N21" s="126"/>
      <c r="S21" s="124"/>
      <c r="T21" s="126"/>
      <c r="Y21" s="126"/>
    </row>
    <row r="22" spans="1:25" x14ac:dyDescent="0.2">
      <c r="A22" s="126"/>
      <c r="H22" s="126"/>
      <c r="M22" s="126"/>
      <c r="N22" s="126"/>
      <c r="S22" s="124"/>
      <c r="T22" s="126"/>
      <c r="Y22" s="126"/>
    </row>
    <row r="23" spans="1:25" x14ac:dyDescent="0.2">
      <c r="A23" s="126"/>
      <c r="H23" s="126"/>
      <c r="M23" s="126"/>
      <c r="N23" s="126"/>
      <c r="S23" s="124"/>
      <c r="T23" s="126"/>
      <c r="Y23" s="126"/>
    </row>
    <row r="24" spans="1:25" x14ac:dyDescent="0.2">
      <c r="A24" s="126"/>
      <c r="H24" s="126"/>
      <c r="M24" s="126"/>
      <c r="N24" s="126"/>
      <c r="S24" s="124"/>
      <c r="T24" s="126"/>
      <c r="Y24" s="126"/>
    </row>
    <row r="25" spans="1:25" x14ac:dyDescent="0.2">
      <c r="A25" s="126"/>
      <c r="H25" s="126"/>
      <c r="M25" s="126"/>
      <c r="N25" s="126"/>
      <c r="S25" s="124"/>
      <c r="T25" s="126"/>
      <c r="Y25" s="126"/>
    </row>
    <row r="26" spans="1:25" x14ac:dyDescent="0.2">
      <c r="A26" s="126"/>
      <c r="H26" s="126"/>
      <c r="M26" s="126"/>
      <c r="N26" s="126"/>
      <c r="S26" s="124"/>
      <c r="T26" s="126"/>
      <c r="Y26" s="126"/>
    </row>
    <row r="27" spans="1:25" x14ac:dyDescent="0.2">
      <c r="A27" s="126"/>
      <c r="H27" s="126"/>
      <c r="M27" s="126"/>
      <c r="N27" s="124"/>
      <c r="O27" s="26"/>
      <c r="P27" s="26"/>
      <c r="Q27" s="26"/>
      <c r="R27" s="26"/>
      <c r="S27" s="124"/>
      <c r="T27" s="126"/>
      <c r="Y27" s="126"/>
    </row>
    <row r="28" spans="1:25" x14ac:dyDescent="0.2">
      <c r="A28" s="126"/>
      <c r="H28" s="126"/>
      <c r="M28" s="126"/>
      <c r="N28" s="124"/>
      <c r="O28" s="26"/>
      <c r="P28" s="26"/>
      <c r="Q28" s="26"/>
      <c r="R28" s="26"/>
      <c r="S28" s="124"/>
      <c r="T28" s="126"/>
      <c r="Y28" s="126"/>
    </row>
    <row r="29" spans="1:25" x14ac:dyDescent="0.2">
      <c r="A29" s="126"/>
      <c r="H29" s="126"/>
      <c r="M29" s="126"/>
      <c r="N29" s="126"/>
      <c r="S29" s="124"/>
      <c r="T29" s="126"/>
      <c r="Y29" s="126"/>
    </row>
    <row r="30" spans="1:25" x14ac:dyDescent="0.2">
      <c r="A30" s="126"/>
      <c r="H30" s="126"/>
      <c r="M30" s="126"/>
      <c r="N30" s="126"/>
      <c r="S30" s="124"/>
      <c r="T30" s="126"/>
      <c r="Y30" s="126"/>
    </row>
    <row r="31" spans="1:25" x14ac:dyDescent="0.2">
      <c r="A31" s="126"/>
      <c r="B31" s="126"/>
      <c r="C31" s="126"/>
      <c r="D31" s="126"/>
      <c r="E31" s="126"/>
      <c r="F31" s="126"/>
      <c r="G31" s="126"/>
      <c r="H31" s="126"/>
      <c r="I31" s="125"/>
      <c r="J31" s="126"/>
      <c r="K31" s="126"/>
      <c r="L31" s="126"/>
      <c r="M31" s="126"/>
      <c r="N31" s="126"/>
      <c r="O31" s="126"/>
      <c r="P31" s="126"/>
      <c r="Q31" s="126"/>
      <c r="R31" s="126"/>
      <c r="S31" s="124"/>
      <c r="T31" s="131"/>
      <c r="Y31" s="126"/>
    </row>
    <row r="32" spans="1:25" ht="5.25" customHeight="1" x14ac:dyDescent="0.2">
      <c r="A32" s="126"/>
      <c r="B32" s="126"/>
      <c r="C32" s="126"/>
      <c r="D32" s="126"/>
      <c r="E32" s="126"/>
      <c r="F32" s="126"/>
      <c r="G32" s="126"/>
      <c r="H32" s="126"/>
      <c r="I32" s="125"/>
      <c r="J32" s="126"/>
      <c r="K32" s="126"/>
      <c r="L32" s="126"/>
      <c r="M32" s="126"/>
      <c r="N32" s="126"/>
      <c r="O32" s="126"/>
      <c r="P32" s="126"/>
      <c r="Q32" s="126"/>
      <c r="R32" s="126"/>
      <c r="S32" s="124"/>
      <c r="T32" s="126"/>
      <c r="U32" s="126"/>
      <c r="V32" s="126"/>
      <c r="W32" s="126"/>
      <c r="X32" s="126"/>
      <c r="Y32" s="126"/>
    </row>
    <row r="33" spans="25:25" x14ac:dyDescent="0.2">
      <c r="Y33" s="126"/>
    </row>
  </sheetData>
  <sheetProtection pivotTables="0"/>
  <customSheetViews>
    <customSheetView guid="{1C92A2C2-FD48-4928-AED5-9BEA6C9145FD}" scale="67" showGridLines="0" fitToPage="1">
      <selection activeCell="B34" sqref="B34"/>
      <pageMargins left="0" right="0" top="0" bottom="0" header="0" footer="0"/>
      <pageSetup orientation="landscape" r:id="rId1"/>
      <headerFooter alignWithMargins="0"/>
    </customSheetView>
    <customSheetView guid="{FF154EE2-AC2D-430A-9754-0D28C9DDDBFB}" showGridLines="0" fitToPage="1">
      <selection activeCell="B5" sqref="B5"/>
      <pageMargins left="0" right="0" top="0" bottom="0" header="0" footer="0"/>
      <pageSetup orientation="landscape" r:id="rId2"/>
      <headerFooter alignWithMargins="0"/>
    </customSheetView>
    <customSheetView guid="{87E9DF29-B3B5-49D6-A9F9-D4136AD726FA}" showGridLines="0" fitToPage="1" showRuler="0">
      <selection activeCell="J8" sqref="J8"/>
      <pageMargins left="0" right="0" top="0" bottom="0" header="0" footer="0"/>
      <pageSetup orientation="landscape" r:id="rId3"/>
      <headerFooter alignWithMargins="0"/>
    </customSheetView>
    <customSheetView guid="{A20558F0-2F89-44CF-9E82-77DC0E7503C6}" scale="75" fitToPage="1" hiddenColumns="1" showRuler="0" topLeftCell="B1">
      <selection activeCell="Q4" sqref="Q4"/>
      <pageMargins left="0" right="0" top="0" bottom="0" header="0" footer="0"/>
      <pageSetup scale="61" orientation="landscape" r:id="rId4"/>
      <headerFooter alignWithMargins="0"/>
    </customSheetView>
    <customSheetView guid="{3113F291-3E92-4666-ADEC-8341DF5CE0CF}" scale="75" fitToPage="1" hiddenColumns="1" showRuler="0" topLeftCell="B1">
      <selection activeCell="C4" sqref="C4"/>
      <pageMargins left="0" right="0" top="0" bottom="0" header="0" footer="0"/>
      <pageSetup scale="61" orientation="landscape" r:id="rId5"/>
      <headerFooter alignWithMargins="0"/>
    </customSheetView>
    <customSheetView guid="{4C83FB7C-D938-4A00-952B-CAECC9DFF3FB}" scale="75" fitToPage="1" hiddenColumns="1" showRuler="0" topLeftCell="B1">
      <selection activeCell="C4" sqref="C4"/>
      <pageMargins left="0" right="0" top="0" bottom="0" header="0" footer="0"/>
      <pageSetup scale="61" orientation="landscape" r:id="rId6"/>
      <headerFooter alignWithMargins="0"/>
    </customSheetView>
    <customSheetView guid="{3E174381-B903-4DC0-8170-3EE53E0B2663}" scale="75" fitToPage="1" hiddenColumns="1" showRuler="0" topLeftCell="B1">
      <selection activeCell="D6" sqref="D6"/>
      <pageMargins left="0" right="0" top="0" bottom="0" header="0" footer="0"/>
      <pageSetup scale="61" orientation="landscape" r:id="rId7"/>
      <headerFooter alignWithMargins="0"/>
    </customSheetView>
    <customSheetView guid="{D1DB2674-C338-4B56-BD07-7F845A98C4E1}" scale="75" fitToPage="1" hiddenColumns="1" showRuler="0" topLeftCell="B1">
      <selection activeCell="C4" sqref="C4"/>
      <pageMargins left="0" right="0" top="0" bottom="0" header="0" footer="0"/>
      <pageSetup scale="61" orientation="landscape" r:id="rId8"/>
      <headerFooter alignWithMargins="0"/>
    </customSheetView>
    <customSheetView guid="{C2290E76-3893-41D8-A4D2-83F52E2B89D5}" scale="67" showGridLines="0" fitToPage="1" showRuler="0">
      <selection activeCell="B35" sqref="B35"/>
      <pageMargins left="0" right="0" top="0" bottom="0" header="0" footer="0"/>
      <pageSetup orientation="landscape" r:id="rId9"/>
      <headerFooter alignWithMargins="0"/>
    </customSheetView>
    <customSheetView guid="{98F85CEF-0B27-46E0-83EC-AF3A91A8F625}" scale="67" showGridLines="0" fitToPage="1" showRuler="0">
      <selection activeCell="J13" sqref="J13"/>
      <pageMargins left="0" right="0" top="0" bottom="0" header="0" footer="0"/>
      <pageSetup orientation="landscape" r:id="rId10"/>
      <headerFooter alignWithMargins="0"/>
    </customSheetView>
  </customSheetViews>
  <mergeCells count="4">
    <mergeCell ref="U2:X2"/>
    <mergeCell ref="B2:G2"/>
    <mergeCell ref="I2:M2"/>
    <mergeCell ref="O2:R2"/>
  </mergeCells>
  <phoneticPr fontId="2" type="noConversion"/>
  <pageMargins left="0.2" right="0.19" top="1" bottom="0.62" header="0.5" footer="0.5"/>
  <pageSetup scale="52" orientation="landscape" r:id="rId11"/>
  <headerFooter alignWithMargins="0">
    <oddHeader>&amp;L&amp;"Calibri"&amp;11&amp;K317100This message/document has been classified as “Public”&amp;1#</oddHeader>
  </headerFooter>
  <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outlinePr summaryBelow="0"/>
    <pageSetUpPr fitToPage="1"/>
  </sheetPr>
  <dimension ref="A1:N181"/>
  <sheetViews>
    <sheetView showGridLines="0" zoomScale="91" zoomScaleNormal="85" workbookViewId="0">
      <pane ySplit="4" topLeftCell="A5" activePane="bottomLeft" state="frozen"/>
      <selection pane="bottomLeft" activeCell="E17" sqref="C17:E17"/>
    </sheetView>
  </sheetViews>
  <sheetFormatPr defaultColWidth="49.85546875" defaultRowHeight="11.25" x14ac:dyDescent="0.2"/>
  <cols>
    <col min="1" max="1" width="16.140625" style="91" bestFit="1" customWidth="1"/>
    <col min="2" max="2" width="18.28515625" style="91" customWidth="1"/>
    <col min="3" max="3" width="76.140625" style="91" bestFit="1" customWidth="1"/>
    <col min="4" max="4" width="10.140625" style="91" bestFit="1" customWidth="1"/>
    <col min="5" max="5" width="69.7109375" style="91" bestFit="1" customWidth="1"/>
    <col min="6" max="6" width="79.7109375" style="92" bestFit="1" customWidth="1"/>
    <col min="7" max="7" width="24.140625" style="92" customWidth="1"/>
    <col min="8" max="8" width="13.140625" style="92" customWidth="1"/>
    <col min="9" max="9" width="11.5703125" style="92" bestFit="1" customWidth="1"/>
    <col min="10" max="10" width="10.5703125" style="92" bestFit="1" customWidth="1"/>
    <col min="11" max="11" width="8.28515625" style="92" bestFit="1" customWidth="1"/>
    <col min="12" max="16384" width="49.85546875" style="63"/>
  </cols>
  <sheetData>
    <row r="1" spans="1:14" s="62" customFormat="1" ht="11.25" customHeight="1" x14ac:dyDescent="0.2">
      <c r="A1" s="224"/>
      <c r="B1" s="205"/>
      <c r="C1" s="205"/>
      <c r="D1" s="205"/>
      <c r="E1" s="205"/>
      <c r="F1" s="205"/>
      <c r="G1" s="205"/>
      <c r="H1" s="201"/>
      <c r="I1" s="201"/>
      <c r="J1" s="203"/>
      <c r="K1" s="203"/>
    </row>
    <row r="2" spans="1:14" s="62" customFormat="1" ht="11.25" customHeight="1" thickBot="1" x14ac:dyDescent="0.25">
      <c r="A2" s="225"/>
      <c r="B2" s="206"/>
      <c r="C2" s="206"/>
      <c r="D2" s="206"/>
      <c r="E2" s="206"/>
      <c r="F2" s="206"/>
      <c r="G2" s="206"/>
      <c r="H2" s="202"/>
      <c r="I2" s="202"/>
      <c r="J2" s="204"/>
      <c r="K2" s="204"/>
    </row>
    <row r="3" spans="1:14" x14ac:dyDescent="0.2">
      <c r="A3" s="213" t="s">
        <v>24</v>
      </c>
      <c r="B3" s="215" t="s">
        <v>25</v>
      </c>
      <c r="C3" s="215" t="s">
        <v>26</v>
      </c>
      <c r="D3" s="215" t="s">
        <v>27</v>
      </c>
      <c r="E3" s="215" t="s">
        <v>28</v>
      </c>
      <c r="F3" s="217" t="s">
        <v>29</v>
      </c>
      <c r="G3" s="215" t="s">
        <v>30</v>
      </c>
      <c r="H3" s="219" t="s">
        <v>31</v>
      </c>
      <c r="I3" s="219" t="s">
        <v>32</v>
      </c>
      <c r="J3" s="207" t="s">
        <v>33</v>
      </c>
      <c r="K3" s="207" t="s">
        <v>34</v>
      </c>
      <c r="L3" s="207" t="s">
        <v>35</v>
      </c>
      <c r="M3" s="207" t="s">
        <v>36</v>
      </c>
      <c r="N3" s="207" t="s">
        <v>37</v>
      </c>
    </row>
    <row r="4" spans="1:14" s="67" customFormat="1" ht="12" thickBot="1" x14ac:dyDescent="0.25">
      <c r="A4" s="214"/>
      <c r="B4" s="216"/>
      <c r="C4" s="216"/>
      <c r="D4" s="216"/>
      <c r="E4" s="216"/>
      <c r="F4" s="218"/>
      <c r="G4" s="216"/>
      <c r="H4" s="220"/>
      <c r="I4" s="220"/>
      <c r="J4" s="208"/>
      <c r="K4" s="208"/>
      <c r="L4" s="208"/>
      <c r="M4" s="208"/>
      <c r="N4" s="208"/>
    </row>
    <row r="5" spans="1:14" s="67" customFormat="1" ht="11.25" customHeight="1" thickBot="1" x14ac:dyDescent="0.25">
      <c r="A5" s="134" t="s">
        <v>38</v>
      </c>
      <c r="B5" s="135"/>
      <c r="C5" s="135"/>
      <c r="D5" s="135"/>
      <c r="E5" s="135"/>
      <c r="F5" s="136"/>
      <c r="G5" s="135"/>
      <c r="H5" s="135"/>
      <c r="I5" s="135"/>
      <c r="J5" s="135"/>
      <c r="K5" s="135"/>
      <c r="L5" s="135"/>
      <c r="M5" s="135"/>
      <c r="N5" s="135"/>
    </row>
    <row r="6" spans="1:14" s="67" customFormat="1" ht="11.25" customHeight="1" thickBot="1" x14ac:dyDescent="0.25">
      <c r="A6" s="72" t="s">
        <v>39</v>
      </c>
      <c r="B6" s="197" t="s">
        <v>40</v>
      </c>
      <c r="C6" s="198"/>
      <c r="D6" s="65"/>
      <c r="E6" s="66"/>
      <c r="F6" s="137"/>
      <c r="G6" s="66" t="s">
        <v>18</v>
      </c>
      <c r="H6" s="138" t="s">
        <v>38</v>
      </c>
      <c r="I6" s="66"/>
      <c r="J6" s="139"/>
      <c r="K6" s="139"/>
      <c r="L6" s="66"/>
      <c r="M6" s="140"/>
      <c r="N6" s="66"/>
    </row>
    <row r="7" spans="1:14" s="67" customFormat="1" ht="11.25" customHeight="1" x14ac:dyDescent="0.2">
      <c r="A7" s="73" t="s">
        <v>42</v>
      </c>
      <c r="B7" s="199" t="s">
        <v>43</v>
      </c>
      <c r="C7" s="200"/>
      <c r="D7" s="68"/>
      <c r="E7" s="68"/>
      <c r="F7" s="141"/>
      <c r="G7" s="68"/>
      <c r="H7" s="68"/>
      <c r="I7" s="68"/>
      <c r="J7" s="142"/>
      <c r="K7" s="142"/>
      <c r="L7" s="68"/>
      <c r="M7" s="68"/>
      <c r="N7" s="68"/>
    </row>
    <row r="8" spans="1:14" s="67" customFormat="1" ht="12.75" x14ac:dyDescent="0.2">
      <c r="A8" s="74" t="s">
        <v>44</v>
      </c>
      <c r="B8" s="195"/>
      <c r="C8" s="196"/>
      <c r="D8" s="57"/>
      <c r="E8" s="57"/>
      <c r="F8" s="143"/>
      <c r="G8" s="57"/>
      <c r="H8" s="57"/>
      <c r="I8" s="57"/>
      <c r="J8" s="144"/>
      <c r="K8" s="144"/>
      <c r="L8" s="57"/>
      <c r="M8" s="57"/>
      <c r="N8" s="57"/>
    </row>
    <row r="9" spans="1:14" s="67" customFormat="1" ht="12.75" x14ac:dyDescent="0.2">
      <c r="A9" s="75" t="s">
        <v>45</v>
      </c>
      <c r="B9" s="195" t="s">
        <v>46</v>
      </c>
      <c r="C9" s="196"/>
      <c r="D9" s="69"/>
      <c r="E9" s="69"/>
      <c r="F9" s="145"/>
      <c r="G9" s="69"/>
      <c r="H9" s="69"/>
      <c r="I9" s="69"/>
      <c r="J9" s="69"/>
      <c r="K9" s="69"/>
      <c r="L9" s="69"/>
      <c r="M9" s="69"/>
      <c r="N9" s="69"/>
    </row>
    <row r="10" spans="1:14" s="67" customFormat="1" ht="12.75" x14ac:dyDescent="0.2">
      <c r="A10" s="221"/>
      <c r="B10" s="147">
        <v>1</v>
      </c>
      <c r="C10" s="147" t="s">
        <v>47</v>
      </c>
      <c r="D10" s="133"/>
      <c r="E10" s="133" t="s">
        <v>48</v>
      </c>
      <c r="F10" s="148" t="s">
        <v>261</v>
      </c>
      <c r="G10" s="149"/>
      <c r="H10" s="150"/>
      <c r="I10" s="151"/>
      <c r="J10" s="133"/>
      <c r="K10" s="133"/>
      <c r="L10" s="152"/>
      <c r="M10" s="153"/>
      <c r="N10" s="154"/>
    </row>
    <row r="11" spans="1:14" s="67" customFormat="1" ht="12.75" x14ac:dyDescent="0.2">
      <c r="A11" s="222"/>
      <c r="B11" s="147">
        <v>2</v>
      </c>
      <c r="C11" s="147" t="s">
        <v>49</v>
      </c>
      <c r="D11" s="133"/>
      <c r="E11" s="133" t="s">
        <v>50</v>
      </c>
      <c r="F11" s="148" t="s">
        <v>262</v>
      </c>
      <c r="G11" s="149"/>
      <c r="H11" s="150"/>
      <c r="I11" s="151"/>
      <c r="J11" s="133"/>
      <c r="K11" s="133"/>
      <c r="L11" s="152"/>
      <c r="M11" s="153"/>
      <c r="N11" s="154"/>
    </row>
    <row r="12" spans="1:14" s="67" customFormat="1" ht="16.5" customHeight="1" thickBot="1" x14ac:dyDescent="0.25">
      <c r="A12" s="223"/>
      <c r="B12" s="147">
        <v>3</v>
      </c>
      <c r="C12" s="56" t="s">
        <v>51</v>
      </c>
      <c r="D12" s="133"/>
      <c r="E12" s="133" t="s">
        <v>52</v>
      </c>
      <c r="F12" s="148" t="s">
        <v>263</v>
      </c>
      <c r="G12" s="149"/>
      <c r="H12" s="150"/>
      <c r="I12" s="151"/>
      <c r="J12" s="133"/>
      <c r="K12" s="133"/>
      <c r="L12" s="152"/>
      <c r="M12" s="153"/>
      <c r="N12" s="154"/>
    </row>
    <row r="13" spans="1:14" s="67" customFormat="1" ht="11.25" customHeight="1" thickBot="1" x14ac:dyDescent="0.25">
      <c r="A13" s="184" t="s">
        <v>39</v>
      </c>
      <c r="B13" s="66" t="s">
        <v>53</v>
      </c>
      <c r="C13" s="66"/>
      <c r="D13" s="65"/>
      <c r="E13" s="66"/>
      <c r="F13" s="137"/>
      <c r="G13" s="66" t="s">
        <v>18</v>
      </c>
      <c r="H13" s="138" t="s">
        <v>38</v>
      </c>
      <c r="I13" s="66"/>
      <c r="J13" s="139"/>
      <c r="K13" s="139"/>
      <c r="L13" s="66"/>
      <c r="M13" s="140"/>
      <c r="N13" s="66"/>
    </row>
    <row r="14" spans="1:14" s="67" customFormat="1" ht="11.25" customHeight="1" x14ac:dyDescent="0.2">
      <c r="A14" s="73" t="s">
        <v>42</v>
      </c>
      <c r="B14" s="199" t="s">
        <v>54</v>
      </c>
      <c r="C14" s="200"/>
      <c r="D14" s="68"/>
      <c r="E14" s="68"/>
      <c r="F14" s="141"/>
      <c r="G14" s="68"/>
      <c r="H14" s="68"/>
      <c r="I14" s="68"/>
      <c r="J14" s="142"/>
      <c r="K14" s="142"/>
      <c r="L14" s="68"/>
      <c r="M14" s="68"/>
      <c r="N14" s="68"/>
    </row>
    <row r="15" spans="1:14" s="67" customFormat="1" ht="12.75" x14ac:dyDescent="0.2">
      <c r="A15" s="74" t="s">
        <v>44</v>
      </c>
      <c r="B15" s="195"/>
      <c r="C15" s="196"/>
      <c r="D15" s="57"/>
      <c r="E15" s="57"/>
      <c r="F15" s="143"/>
      <c r="G15" s="57"/>
      <c r="H15" s="57"/>
      <c r="I15" s="57"/>
      <c r="J15" s="144"/>
      <c r="K15" s="144"/>
      <c r="L15" s="57"/>
      <c r="M15" s="57"/>
      <c r="N15" s="57"/>
    </row>
    <row r="16" spans="1:14" s="67" customFormat="1" ht="12.75" x14ac:dyDescent="0.2">
      <c r="A16" s="75" t="s">
        <v>45</v>
      </c>
      <c r="B16" s="195" t="s">
        <v>55</v>
      </c>
      <c r="C16" s="196"/>
      <c r="D16" s="69"/>
      <c r="E16" s="69"/>
      <c r="F16" s="145"/>
      <c r="G16" s="69"/>
      <c r="H16" s="69"/>
      <c r="I16" s="69"/>
      <c r="J16" s="69"/>
      <c r="K16" s="69"/>
      <c r="L16" s="69"/>
      <c r="M16" s="69"/>
      <c r="N16" s="69"/>
    </row>
    <row r="17" spans="1:14" s="67" customFormat="1" ht="409.5" x14ac:dyDescent="0.2">
      <c r="A17" s="179"/>
      <c r="B17" s="147">
        <v>1</v>
      </c>
      <c r="C17" s="180" t="s">
        <v>56</v>
      </c>
      <c r="D17" s="133"/>
      <c r="E17" s="133" t="s">
        <v>57</v>
      </c>
      <c r="F17" s="148" t="s">
        <v>264</v>
      </c>
      <c r="G17" s="149"/>
      <c r="H17" s="150"/>
      <c r="I17" s="151"/>
      <c r="J17" s="133"/>
      <c r="K17" s="133"/>
      <c r="L17" s="152"/>
      <c r="M17" s="153"/>
      <c r="N17" s="154"/>
    </row>
    <row r="18" spans="1:14" s="67" customFormat="1" ht="13.5" thickBot="1" x14ac:dyDescent="0.25">
      <c r="A18" s="181" t="s">
        <v>58</v>
      </c>
      <c r="B18" s="182"/>
      <c r="C18" s="180"/>
      <c r="D18" s="183"/>
      <c r="E18" s="172" t="s">
        <v>59</v>
      </c>
      <c r="F18" s="168"/>
      <c r="G18" s="169"/>
      <c r="H18" s="170"/>
      <c r="I18" s="171"/>
      <c r="J18" s="172"/>
      <c r="K18" s="172"/>
      <c r="L18" s="173"/>
      <c r="M18" s="174"/>
      <c r="N18" s="175"/>
    </row>
    <row r="19" spans="1:14" s="67" customFormat="1" ht="11.25" customHeight="1" thickBot="1" x14ac:dyDescent="0.25">
      <c r="A19" s="184" t="s">
        <v>39</v>
      </c>
      <c r="B19" s="66" t="s">
        <v>60</v>
      </c>
      <c r="C19" s="66"/>
      <c r="D19" s="66"/>
      <c r="E19" s="66"/>
      <c r="F19" s="137"/>
      <c r="G19" s="66" t="s">
        <v>18</v>
      </c>
      <c r="H19" s="138" t="s">
        <v>38</v>
      </c>
      <c r="I19" s="66"/>
      <c r="J19" s="139"/>
      <c r="K19" s="139"/>
      <c r="L19" s="66"/>
      <c r="M19" s="140"/>
      <c r="N19" s="66"/>
    </row>
    <row r="20" spans="1:14" s="67" customFormat="1" ht="11.25" customHeight="1" x14ac:dyDescent="0.2">
      <c r="A20" s="73" t="s">
        <v>42</v>
      </c>
      <c r="B20" s="199" t="s">
        <v>54</v>
      </c>
      <c r="C20" s="200"/>
      <c r="D20" s="68"/>
      <c r="E20" s="68"/>
      <c r="F20" s="141"/>
      <c r="G20" s="68"/>
      <c r="H20" s="68"/>
      <c r="I20" s="68"/>
      <c r="J20" s="142"/>
      <c r="K20" s="142"/>
      <c r="L20" s="68"/>
      <c r="M20" s="68"/>
      <c r="N20" s="68"/>
    </row>
    <row r="21" spans="1:14" s="67" customFormat="1" ht="12.75" x14ac:dyDescent="0.2">
      <c r="A21" s="74" t="s">
        <v>44</v>
      </c>
      <c r="B21" s="195"/>
      <c r="C21" s="196"/>
      <c r="D21" s="57"/>
      <c r="E21" s="57"/>
      <c r="F21" s="143"/>
      <c r="G21" s="57"/>
      <c r="H21" s="57"/>
      <c r="I21" s="57"/>
      <c r="J21" s="144"/>
      <c r="K21" s="144"/>
      <c r="L21" s="57"/>
      <c r="M21" s="57"/>
      <c r="N21" s="57"/>
    </row>
    <row r="22" spans="1:14" s="67" customFormat="1" ht="12.75" x14ac:dyDescent="0.2">
      <c r="A22" s="75" t="s">
        <v>45</v>
      </c>
      <c r="B22" s="195" t="s">
        <v>61</v>
      </c>
      <c r="C22" s="196"/>
      <c r="D22" s="69"/>
      <c r="E22" s="69"/>
      <c r="F22" s="145"/>
      <c r="G22" s="69"/>
      <c r="H22" s="69"/>
      <c r="I22" s="69"/>
      <c r="J22" s="69"/>
      <c r="K22" s="69"/>
      <c r="L22" s="69"/>
      <c r="M22" s="69"/>
      <c r="N22" s="69"/>
    </row>
    <row r="23" spans="1:14" s="67" customFormat="1" ht="12.75" x14ac:dyDescent="0.2">
      <c r="A23" s="221"/>
      <c r="B23" s="147">
        <v>1</v>
      </c>
      <c r="C23" s="147" t="s">
        <v>62</v>
      </c>
      <c r="D23" s="133"/>
      <c r="E23" s="133" t="s">
        <v>63</v>
      </c>
      <c r="F23" s="148" t="s">
        <v>265</v>
      </c>
      <c r="G23" s="149"/>
      <c r="H23" s="150"/>
      <c r="I23" s="151"/>
      <c r="J23" s="133"/>
      <c r="K23" s="133"/>
      <c r="L23" s="152"/>
      <c r="M23" s="153"/>
      <c r="N23" s="154"/>
    </row>
    <row r="24" spans="1:14" ht="13.5" thickBot="1" x14ac:dyDescent="0.25">
      <c r="A24" s="222"/>
      <c r="B24" s="147">
        <v>2</v>
      </c>
      <c r="C24" s="147" t="s">
        <v>64</v>
      </c>
      <c r="D24" s="133"/>
      <c r="E24" s="133" t="s">
        <v>65</v>
      </c>
      <c r="F24" s="148" t="s">
        <v>266</v>
      </c>
      <c r="G24" s="149"/>
      <c r="H24" s="150"/>
      <c r="I24" s="151"/>
      <c r="J24" s="133"/>
      <c r="K24" s="133"/>
      <c r="L24" s="152"/>
      <c r="M24" s="153"/>
      <c r="N24" s="154"/>
    </row>
    <row r="25" spans="1:14" s="67" customFormat="1" ht="11.25" customHeight="1" thickBot="1" x14ac:dyDescent="0.25">
      <c r="A25" s="134" t="s">
        <v>66</v>
      </c>
      <c r="B25" s="135"/>
      <c r="C25" s="135"/>
      <c r="D25" s="135"/>
      <c r="E25" s="135"/>
      <c r="F25" s="136"/>
      <c r="G25" s="135"/>
      <c r="H25" s="135"/>
      <c r="I25" s="135"/>
      <c r="J25" s="135"/>
      <c r="K25" s="135"/>
      <c r="L25" s="135"/>
      <c r="M25" s="135"/>
      <c r="N25" s="135"/>
    </row>
    <row r="26" spans="1:14" ht="12.75" customHeight="1" thickBot="1" x14ac:dyDescent="0.25">
      <c r="A26" s="72" t="s">
        <v>39</v>
      </c>
      <c r="B26" s="197" t="s">
        <v>67</v>
      </c>
      <c r="C26" s="198"/>
      <c r="D26" s="65"/>
      <c r="E26" s="66"/>
      <c r="F26" s="137"/>
      <c r="G26" s="66" t="s">
        <v>18</v>
      </c>
      <c r="H26" s="138" t="s">
        <v>68</v>
      </c>
      <c r="I26" s="66"/>
      <c r="J26" s="139"/>
      <c r="K26" s="139"/>
      <c r="L26" s="66"/>
      <c r="M26" s="140"/>
      <c r="N26" s="66"/>
    </row>
    <row r="27" spans="1:14" ht="12.75" customHeight="1" x14ac:dyDescent="0.2">
      <c r="A27" s="73" t="s">
        <v>42</v>
      </c>
      <c r="B27" s="199" t="s">
        <v>69</v>
      </c>
      <c r="C27" s="200"/>
      <c r="D27" s="68"/>
      <c r="E27" s="68"/>
      <c r="F27" s="141"/>
      <c r="G27" s="68"/>
      <c r="H27" s="68"/>
      <c r="I27" s="68"/>
      <c r="J27" s="142"/>
      <c r="K27" s="142"/>
      <c r="L27" s="68"/>
      <c r="M27" s="68"/>
      <c r="N27" s="68"/>
    </row>
    <row r="28" spans="1:14" ht="12.75" x14ac:dyDescent="0.2">
      <c r="A28" s="74" t="s">
        <v>44</v>
      </c>
      <c r="B28" s="195" t="s">
        <v>70</v>
      </c>
      <c r="C28" s="196"/>
      <c r="D28" s="57"/>
      <c r="E28" s="57"/>
      <c r="F28" s="143"/>
      <c r="G28" s="57"/>
      <c r="H28" s="57"/>
      <c r="I28" s="57"/>
      <c r="J28" s="144"/>
      <c r="K28" s="144"/>
      <c r="L28" s="57"/>
      <c r="M28" s="57"/>
      <c r="N28" s="57"/>
    </row>
    <row r="29" spans="1:14" ht="12.75" x14ac:dyDescent="0.2">
      <c r="A29" s="75" t="s">
        <v>45</v>
      </c>
      <c r="B29" s="195" t="s">
        <v>71</v>
      </c>
      <c r="C29" s="196"/>
      <c r="D29" s="69"/>
      <c r="E29" s="69"/>
      <c r="F29" s="145"/>
      <c r="G29" s="69"/>
      <c r="H29" s="69"/>
      <c r="I29" s="69"/>
      <c r="J29" s="69"/>
      <c r="K29" s="69"/>
      <c r="L29" s="69"/>
      <c r="M29" s="69"/>
      <c r="N29" s="69"/>
    </row>
    <row r="30" spans="1:14" ht="38.25" customHeight="1" x14ac:dyDescent="0.2">
      <c r="A30" s="221"/>
      <c r="B30" s="147">
        <v>1</v>
      </c>
      <c r="C30" s="147" t="s">
        <v>72</v>
      </c>
      <c r="D30" s="133" t="s">
        <v>73</v>
      </c>
      <c r="E30" s="133" t="s">
        <v>74</v>
      </c>
      <c r="F30" s="148"/>
      <c r="G30" s="149"/>
      <c r="H30" s="150"/>
      <c r="I30" s="151"/>
      <c r="J30" s="133"/>
      <c r="K30" s="133"/>
      <c r="L30" s="152"/>
      <c r="M30" s="153"/>
      <c r="N30" s="154"/>
    </row>
    <row r="31" spans="1:14" ht="38.25" customHeight="1" thickBot="1" x14ac:dyDescent="0.25">
      <c r="A31" s="222"/>
      <c r="B31" s="147">
        <v>2</v>
      </c>
      <c r="C31" s="56" t="s">
        <v>75</v>
      </c>
      <c r="D31" s="133"/>
      <c r="E31" s="133" t="s">
        <v>76</v>
      </c>
      <c r="F31" s="148"/>
      <c r="G31" s="149"/>
      <c r="H31" s="150"/>
      <c r="I31" s="151"/>
      <c r="J31" s="133"/>
      <c r="K31" s="133"/>
      <c r="L31" s="152"/>
      <c r="M31" s="153"/>
      <c r="N31" s="154"/>
    </row>
    <row r="32" spans="1:14" ht="12.75" customHeight="1" thickBot="1" x14ac:dyDescent="0.25">
      <c r="A32" s="72" t="s">
        <v>39</v>
      </c>
      <c r="B32" s="197" t="s">
        <v>77</v>
      </c>
      <c r="C32" s="198"/>
      <c r="D32" s="65"/>
      <c r="E32" s="66"/>
      <c r="F32" s="137"/>
      <c r="G32" s="66" t="s">
        <v>20</v>
      </c>
      <c r="H32" s="138" t="s">
        <v>68</v>
      </c>
      <c r="I32" s="66"/>
      <c r="J32" s="139"/>
      <c r="K32" s="139"/>
      <c r="L32" s="66"/>
      <c r="M32" s="140"/>
      <c r="N32" s="66"/>
    </row>
    <row r="33" spans="1:14" ht="12.75" customHeight="1" x14ac:dyDescent="0.2">
      <c r="A33" s="73" t="s">
        <v>42</v>
      </c>
      <c r="B33" s="199" t="s">
        <v>78</v>
      </c>
      <c r="C33" s="200"/>
      <c r="D33" s="68"/>
      <c r="E33" s="68"/>
      <c r="F33" s="141"/>
      <c r="G33" s="68"/>
      <c r="H33" s="68"/>
      <c r="I33" s="68"/>
      <c r="J33" s="142"/>
      <c r="K33" s="142"/>
      <c r="L33" s="68"/>
      <c r="M33" s="68"/>
      <c r="N33" s="68"/>
    </row>
    <row r="34" spans="1:14" ht="12.75" x14ac:dyDescent="0.2">
      <c r="A34" s="74" t="s">
        <v>44</v>
      </c>
      <c r="B34" s="195" t="s">
        <v>79</v>
      </c>
      <c r="C34" s="196"/>
      <c r="D34" s="57"/>
      <c r="E34" s="57"/>
      <c r="F34" s="143"/>
      <c r="G34" s="57"/>
      <c r="H34" s="57"/>
      <c r="I34" s="57"/>
      <c r="J34" s="144"/>
      <c r="K34" s="144"/>
      <c r="L34" s="57"/>
      <c r="M34" s="57"/>
      <c r="N34" s="57"/>
    </row>
    <row r="35" spans="1:14" ht="12.75" x14ac:dyDescent="0.2">
      <c r="A35" s="75" t="s">
        <v>45</v>
      </c>
      <c r="B35" s="195" t="s">
        <v>71</v>
      </c>
      <c r="C35" s="196"/>
      <c r="D35" s="69"/>
      <c r="E35" s="69"/>
      <c r="F35" s="145"/>
      <c r="G35" s="69"/>
      <c r="H35" s="69"/>
      <c r="I35" s="69"/>
      <c r="J35" s="69"/>
      <c r="K35" s="69"/>
      <c r="L35" s="69"/>
      <c r="M35" s="69"/>
      <c r="N35" s="69"/>
    </row>
    <row r="36" spans="1:14" ht="38.25" customHeight="1" x14ac:dyDescent="0.2">
      <c r="A36" s="221"/>
      <c r="B36" s="147">
        <v>1</v>
      </c>
      <c r="C36" s="147" t="s">
        <v>80</v>
      </c>
      <c r="D36" s="133" t="s">
        <v>73</v>
      </c>
      <c r="E36" s="133" t="s">
        <v>74</v>
      </c>
      <c r="F36" s="148" t="s">
        <v>273</v>
      </c>
      <c r="G36" s="149"/>
      <c r="H36" s="150"/>
      <c r="I36" s="151"/>
      <c r="J36" s="133"/>
      <c r="K36" s="133"/>
      <c r="L36" s="152"/>
      <c r="M36" s="153"/>
      <c r="N36" s="154"/>
    </row>
    <row r="37" spans="1:14" ht="38.25" customHeight="1" x14ac:dyDescent="0.2">
      <c r="A37" s="222"/>
      <c r="B37" s="147">
        <v>2</v>
      </c>
      <c r="C37" s="56" t="s">
        <v>81</v>
      </c>
      <c r="D37" s="133"/>
      <c r="E37" s="133" t="s">
        <v>82</v>
      </c>
      <c r="F37" s="148" t="s">
        <v>274</v>
      </c>
      <c r="G37" s="149"/>
      <c r="H37" s="150"/>
      <c r="I37" s="151"/>
      <c r="J37" s="133"/>
      <c r="K37" s="133"/>
      <c r="L37" s="152"/>
      <c r="M37" s="153"/>
      <c r="N37" s="154"/>
    </row>
    <row r="38" spans="1:14" ht="38.25" customHeight="1" x14ac:dyDescent="0.2">
      <c r="A38" s="222"/>
      <c r="B38" s="147">
        <v>3</v>
      </c>
      <c r="C38" s="56" t="s">
        <v>83</v>
      </c>
      <c r="D38" s="133"/>
      <c r="E38" s="58" t="s">
        <v>84</v>
      </c>
      <c r="F38" s="148" t="s">
        <v>275</v>
      </c>
      <c r="G38" s="149"/>
      <c r="H38" s="150"/>
      <c r="I38" s="151"/>
      <c r="J38" s="133"/>
      <c r="K38" s="133"/>
      <c r="L38" s="152"/>
      <c r="M38" s="153"/>
      <c r="N38" s="154"/>
    </row>
    <row r="39" spans="1:14" ht="14.25" customHeight="1" x14ac:dyDescent="0.2">
      <c r="A39" s="222"/>
      <c r="B39" s="147">
        <v>4</v>
      </c>
      <c r="C39" s="56" t="s">
        <v>85</v>
      </c>
      <c r="D39" s="133"/>
      <c r="E39" s="133" t="s">
        <v>86</v>
      </c>
      <c r="F39" s="148" t="s">
        <v>276</v>
      </c>
      <c r="G39" s="149"/>
      <c r="H39" s="150"/>
      <c r="I39" s="151"/>
      <c r="J39" s="133"/>
      <c r="K39" s="133"/>
      <c r="L39" s="152"/>
      <c r="M39" s="153"/>
      <c r="N39" s="154"/>
    </row>
    <row r="40" spans="1:14" s="133" customFormat="1" ht="14.25" customHeight="1" x14ac:dyDescent="0.2">
      <c r="A40" s="222"/>
      <c r="B40" s="133">
        <v>5</v>
      </c>
      <c r="C40" s="56" t="s">
        <v>87</v>
      </c>
      <c r="E40" s="133" t="s">
        <v>86</v>
      </c>
      <c r="F40" s="56"/>
      <c r="I40" s="147"/>
      <c r="J40" s="56"/>
      <c r="M40" s="147"/>
      <c r="N40" s="56"/>
    </row>
    <row r="41" spans="1:14" ht="13.5" thickBot="1" x14ac:dyDescent="0.25">
      <c r="A41" s="222"/>
      <c r="B41" s="147">
        <v>6</v>
      </c>
      <c r="C41" s="56" t="s">
        <v>88</v>
      </c>
      <c r="D41" s="133"/>
      <c r="E41" s="133" t="s">
        <v>89</v>
      </c>
      <c r="F41" s="148"/>
      <c r="G41" s="149"/>
      <c r="H41" s="150"/>
      <c r="I41" s="151"/>
      <c r="J41" s="133"/>
      <c r="K41" s="133"/>
      <c r="L41" s="152"/>
      <c r="M41" s="153"/>
      <c r="N41" s="154"/>
    </row>
    <row r="42" spans="1:14" ht="12.75" customHeight="1" thickBot="1" x14ac:dyDescent="0.25">
      <c r="A42" s="72" t="s">
        <v>39</v>
      </c>
      <c r="B42" s="197" t="s">
        <v>90</v>
      </c>
      <c r="C42" s="198"/>
      <c r="D42" s="65"/>
      <c r="E42" s="66"/>
      <c r="F42" s="137"/>
      <c r="G42" s="66" t="s">
        <v>20</v>
      </c>
      <c r="H42" s="138" t="s">
        <v>68</v>
      </c>
      <c r="I42" s="66"/>
      <c r="J42" s="139"/>
      <c r="K42" s="139"/>
      <c r="L42" s="66"/>
      <c r="M42" s="140"/>
      <c r="N42" s="66"/>
    </row>
    <row r="43" spans="1:14" ht="12.75" customHeight="1" x14ac:dyDescent="0.2">
      <c r="A43" s="73" t="s">
        <v>42</v>
      </c>
      <c r="B43" s="199" t="s">
        <v>91</v>
      </c>
      <c r="C43" s="200"/>
      <c r="D43" s="68"/>
      <c r="E43" s="68"/>
      <c r="F43" s="141"/>
      <c r="G43" s="68"/>
      <c r="H43" s="68"/>
      <c r="I43" s="68"/>
      <c r="J43" s="142"/>
      <c r="K43" s="142"/>
      <c r="L43" s="68"/>
      <c r="M43" s="68"/>
      <c r="N43" s="68"/>
    </row>
    <row r="44" spans="1:14" ht="12.75" x14ac:dyDescent="0.2">
      <c r="A44" s="74" t="s">
        <v>44</v>
      </c>
      <c r="B44" s="195" t="s">
        <v>92</v>
      </c>
      <c r="C44" s="196"/>
      <c r="D44" s="57"/>
      <c r="E44" s="57"/>
      <c r="F44" s="143"/>
      <c r="G44" s="57"/>
      <c r="H44" s="57"/>
      <c r="I44" s="57"/>
      <c r="J44" s="144"/>
      <c r="K44" s="144"/>
      <c r="L44" s="57"/>
      <c r="M44" s="57"/>
      <c r="N44" s="57"/>
    </row>
    <row r="45" spans="1:14" ht="12.75" x14ac:dyDescent="0.2">
      <c r="A45" s="75" t="s">
        <v>45</v>
      </c>
      <c r="B45" s="195" t="s">
        <v>71</v>
      </c>
      <c r="C45" s="196"/>
      <c r="D45" s="69"/>
      <c r="E45" s="69"/>
      <c r="F45" s="145"/>
      <c r="G45" s="69"/>
      <c r="H45" s="69"/>
      <c r="I45" s="69"/>
      <c r="J45" s="69"/>
      <c r="K45" s="69"/>
      <c r="L45" s="69"/>
      <c r="M45" s="69"/>
      <c r="N45" s="69"/>
    </row>
    <row r="46" spans="1:14" ht="38.25" customHeight="1" x14ac:dyDescent="0.2">
      <c r="A46" s="221" t="s">
        <v>282</v>
      </c>
      <c r="B46" s="147">
        <v>1</v>
      </c>
      <c r="C46" s="147" t="s">
        <v>93</v>
      </c>
      <c r="D46" s="133" t="s">
        <v>73</v>
      </c>
      <c r="E46" s="133" t="s">
        <v>74</v>
      </c>
      <c r="F46" s="148" t="s">
        <v>281</v>
      </c>
      <c r="G46" s="149"/>
      <c r="H46" s="150"/>
      <c r="I46" s="151"/>
      <c r="J46" s="133"/>
      <c r="K46" s="133"/>
      <c r="L46" s="152"/>
      <c r="M46" s="153"/>
      <c r="N46" s="154"/>
    </row>
    <row r="47" spans="1:14" ht="38.25" customHeight="1" x14ac:dyDescent="0.2">
      <c r="A47" s="222"/>
      <c r="B47" s="147">
        <v>2</v>
      </c>
      <c r="C47" s="56" t="s">
        <v>94</v>
      </c>
      <c r="D47" s="133"/>
      <c r="E47" s="133" t="s">
        <v>82</v>
      </c>
      <c r="F47" s="148" t="s">
        <v>283</v>
      </c>
      <c r="G47" s="149"/>
      <c r="H47" s="150"/>
      <c r="I47" s="151"/>
      <c r="J47" s="133"/>
      <c r="K47" s="133"/>
      <c r="L47" s="152"/>
      <c r="M47" s="153"/>
      <c r="N47" s="154"/>
    </row>
    <row r="48" spans="1:14" ht="51" customHeight="1" x14ac:dyDescent="0.2">
      <c r="A48" s="222"/>
      <c r="B48" s="147">
        <v>3</v>
      </c>
      <c r="C48" s="56" t="s">
        <v>95</v>
      </c>
      <c r="D48" s="133"/>
      <c r="E48" s="58" t="s">
        <v>96</v>
      </c>
      <c r="F48" s="148"/>
      <c r="G48" s="149"/>
      <c r="H48" s="150"/>
      <c r="I48" s="151"/>
      <c r="J48" s="133"/>
      <c r="K48" s="133"/>
      <c r="L48" s="152"/>
      <c r="M48" s="153"/>
      <c r="N48" s="154"/>
    </row>
    <row r="49" spans="1:14" ht="14.25" customHeight="1" x14ac:dyDescent="0.2">
      <c r="A49" s="222"/>
      <c r="B49" s="147">
        <v>4</v>
      </c>
      <c r="C49" s="56" t="s">
        <v>85</v>
      </c>
      <c r="D49" s="133"/>
      <c r="E49" s="133" t="s">
        <v>97</v>
      </c>
      <c r="F49" s="148"/>
      <c r="G49" s="149"/>
      <c r="H49" s="150"/>
      <c r="I49" s="151"/>
      <c r="J49" s="133"/>
      <c r="K49" s="133"/>
      <c r="L49" s="152"/>
      <c r="M49" s="153"/>
      <c r="N49" s="154"/>
    </row>
    <row r="50" spans="1:14" s="133" customFormat="1" ht="14.25" customHeight="1" x14ac:dyDescent="0.2">
      <c r="A50" s="222"/>
      <c r="B50" s="133">
        <v>5</v>
      </c>
      <c r="C50" s="56" t="s">
        <v>87</v>
      </c>
      <c r="E50" s="133" t="s">
        <v>97</v>
      </c>
      <c r="F50" s="56"/>
      <c r="I50" s="147"/>
      <c r="J50" s="56"/>
      <c r="M50" s="147"/>
      <c r="N50" s="56"/>
    </row>
    <row r="51" spans="1:14" ht="12.75" x14ac:dyDescent="0.2">
      <c r="A51" s="222"/>
      <c r="B51" s="147">
        <v>6</v>
      </c>
      <c r="C51" s="56" t="s">
        <v>88</v>
      </c>
      <c r="D51" s="133"/>
      <c r="E51" s="133" t="s">
        <v>89</v>
      </c>
      <c r="F51" s="148"/>
      <c r="G51" s="149"/>
      <c r="H51" s="150"/>
      <c r="I51" s="151"/>
      <c r="J51" s="133"/>
      <c r="K51" s="133"/>
      <c r="L51" s="152"/>
      <c r="M51" s="153"/>
      <c r="N51" s="154"/>
    </row>
    <row r="52" spans="1:14" ht="13.5" thickBot="1" x14ac:dyDescent="0.25">
      <c r="A52" s="155" t="s">
        <v>98</v>
      </c>
      <c r="B52" s="156"/>
      <c r="C52" s="156"/>
      <c r="D52" s="157"/>
      <c r="E52" s="158"/>
      <c r="F52" s="159"/>
      <c r="G52" s="160"/>
      <c r="H52" s="161"/>
      <c r="I52" s="162"/>
      <c r="J52" s="163"/>
      <c r="K52" s="163"/>
      <c r="L52" s="164"/>
      <c r="M52" s="165"/>
      <c r="N52" s="166"/>
    </row>
    <row r="53" spans="1:14" ht="14.25" customHeight="1" thickBot="1" x14ac:dyDescent="0.25">
      <c r="A53" s="72" t="s">
        <v>39</v>
      </c>
      <c r="B53" s="197" t="s">
        <v>99</v>
      </c>
      <c r="C53" s="198"/>
      <c r="D53" s="65"/>
      <c r="E53" s="66"/>
      <c r="F53" s="137"/>
      <c r="G53" s="66" t="s">
        <v>18</v>
      </c>
      <c r="H53" s="138" t="s">
        <v>100</v>
      </c>
      <c r="I53" s="66"/>
      <c r="J53" s="139"/>
      <c r="K53" s="139"/>
      <c r="L53" s="66"/>
      <c r="M53" s="140"/>
      <c r="N53" s="66"/>
    </row>
    <row r="54" spans="1:14" ht="14.25" customHeight="1" x14ac:dyDescent="0.2">
      <c r="A54" s="73" t="s">
        <v>42</v>
      </c>
      <c r="B54" s="199" t="s">
        <v>101</v>
      </c>
      <c r="C54" s="200"/>
      <c r="D54" s="68"/>
      <c r="E54" s="68"/>
      <c r="F54" s="141"/>
      <c r="G54" s="68"/>
      <c r="H54" s="68"/>
      <c r="I54" s="68"/>
      <c r="J54" s="142"/>
      <c r="K54" s="142"/>
      <c r="L54" s="68"/>
      <c r="M54" s="68"/>
      <c r="N54" s="68"/>
    </row>
    <row r="55" spans="1:14" ht="12.75" x14ac:dyDescent="0.2">
      <c r="A55" s="74" t="s">
        <v>44</v>
      </c>
      <c r="B55" s="195" t="s">
        <v>102</v>
      </c>
      <c r="C55" s="196"/>
      <c r="D55" s="57"/>
      <c r="E55" s="57"/>
      <c r="F55" s="143"/>
      <c r="G55" s="57"/>
      <c r="H55" s="57"/>
      <c r="I55" s="57"/>
      <c r="J55" s="144"/>
      <c r="K55" s="144"/>
      <c r="L55" s="57"/>
      <c r="M55" s="57"/>
      <c r="N55" s="57"/>
    </row>
    <row r="56" spans="1:14" ht="12.75" x14ac:dyDescent="0.2">
      <c r="A56" s="75" t="s">
        <v>45</v>
      </c>
      <c r="B56" s="195" t="s">
        <v>103</v>
      </c>
      <c r="C56" s="196"/>
      <c r="D56" s="69"/>
      <c r="E56" s="69"/>
      <c r="F56" s="145"/>
      <c r="G56" s="69"/>
      <c r="H56" s="69"/>
      <c r="I56" s="69"/>
      <c r="J56" s="69"/>
      <c r="K56" s="69"/>
      <c r="L56" s="69"/>
      <c r="M56" s="69"/>
      <c r="N56" s="69"/>
    </row>
    <row r="57" spans="1:14" ht="67.5" x14ac:dyDescent="0.2">
      <c r="A57" s="146"/>
      <c r="B57" s="147">
        <v>1</v>
      </c>
      <c r="C57" s="56" t="s">
        <v>104</v>
      </c>
      <c r="D57" s="133"/>
      <c r="E57" s="58" t="s">
        <v>105</v>
      </c>
      <c r="F57" s="148" t="s">
        <v>284</v>
      </c>
      <c r="G57" s="149"/>
      <c r="H57" s="150"/>
      <c r="I57" s="151"/>
      <c r="J57" s="133"/>
      <c r="K57" s="133"/>
      <c r="L57" s="152"/>
      <c r="M57" s="153"/>
      <c r="N57" s="154"/>
    </row>
    <row r="58" spans="1:14" s="64" customFormat="1" ht="33.75" x14ac:dyDescent="0.2">
      <c r="A58" s="146"/>
      <c r="B58" s="147">
        <v>2</v>
      </c>
      <c r="C58" s="56" t="s">
        <v>106</v>
      </c>
      <c r="D58" s="133"/>
      <c r="E58" s="58" t="s">
        <v>107</v>
      </c>
      <c r="F58" s="148" t="s">
        <v>285</v>
      </c>
      <c r="G58" s="149"/>
      <c r="H58" s="150"/>
      <c r="I58" s="151"/>
      <c r="J58" s="133"/>
      <c r="K58" s="133"/>
      <c r="L58" s="152"/>
      <c r="M58" s="153"/>
      <c r="N58" s="154"/>
    </row>
    <row r="59" spans="1:14" ht="14.25" customHeight="1" x14ac:dyDescent="0.2">
      <c r="A59" s="72" t="s">
        <v>39</v>
      </c>
      <c r="B59" s="197" t="s">
        <v>108</v>
      </c>
      <c r="C59" s="198"/>
      <c r="D59" s="65"/>
      <c r="E59" s="66"/>
      <c r="F59" s="137"/>
      <c r="G59" s="66" t="s">
        <v>41</v>
      </c>
      <c r="H59" s="138" t="s">
        <v>100</v>
      </c>
      <c r="I59" s="66"/>
      <c r="J59" s="139"/>
      <c r="K59" s="139"/>
      <c r="L59" s="66"/>
      <c r="M59" s="140"/>
      <c r="N59" s="66"/>
    </row>
    <row r="60" spans="1:14" ht="14.25" customHeight="1" x14ac:dyDescent="0.2">
      <c r="A60" s="73" t="s">
        <v>42</v>
      </c>
      <c r="B60" s="199" t="s">
        <v>101</v>
      </c>
      <c r="C60" s="200"/>
      <c r="D60" s="68"/>
      <c r="E60" s="68"/>
      <c r="F60" s="141"/>
      <c r="G60" s="68"/>
      <c r="H60" s="68"/>
      <c r="I60" s="68"/>
      <c r="J60" s="142"/>
      <c r="K60" s="142"/>
      <c r="L60" s="68"/>
      <c r="M60" s="68"/>
      <c r="N60" s="68"/>
    </row>
    <row r="61" spans="1:14" ht="12.75" x14ac:dyDescent="0.2">
      <c r="A61" s="74" t="s">
        <v>44</v>
      </c>
      <c r="B61" s="195" t="s">
        <v>102</v>
      </c>
      <c r="C61" s="196"/>
      <c r="D61" s="57"/>
      <c r="E61" s="57"/>
      <c r="F61" s="143"/>
      <c r="G61" s="57"/>
      <c r="H61" s="57"/>
      <c r="I61" s="57"/>
      <c r="J61" s="144"/>
      <c r="K61" s="144"/>
      <c r="L61" s="57"/>
      <c r="M61" s="57"/>
      <c r="N61" s="57"/>
    </row>
    <row r="62" spans="1:14" ht="12.75" x14ac:dyDescent="0.2">
      <c r="A62" s="75" t="s">
        <v>45</v>
      </c>
      <c r="B62" s="195" t="s">
        <v>103</v>
      </c>
      <c r="C62" s="196"/>
      <c r="D62" s="69"/>
      <c r="E62" s="69"/>
      <c r="F62" s="145"/>
      <c r="G62" s="69"/>
      <c r="H62" s="69"/>
      <c r="I62" s="69"/>
      <c r="J62" s="69"/>
      <c r="K62" s="69"/>
      <c r="L62" s="69"/>
      <c r="M62" s="69"/>
      <c r="N62" s="69"/>
    </row>
    <row r="63" spans="1:14" ht="67.5" x14ac:dyDescent="0.2">
      <c r="A63" s="146"/>
      <c r="B63" s="147">
        <v>1</v>
      </c>
      <c r="C63" s="56" t="s">
        <v>109</v>
      </c>
      <c r="D63" s="133"/>
      <c r="E63" s="58" t="s">
        <v>105</v>
      </c>
      <c r="F63" s="148"/>
      <c r="G63" s="149"/>
      <c r="H63" s="150"/>
      <c r="I63" s="151"/>
      <c r="J63" s="133"/>
      <c r="K63" s="133"/>
      <c r="L63" s="152"/>
      <c r="M63" s="153"/>
      <c r="N63" s="154"/>
    </row>
    <row r="64" spans="1:14" s="64" customFormat="1" ht="33.75" x14ac:dyDescent="0.2">
      <c r="A64" s="146"/>
      <c r="B64" s="147">
        <v>2</v>
      </c>
      <c r="C64" s="56" t="s">
        <v>106</v>
      </c>
      <c r="D64" s="133"/>
      <c r="E64" s="58" t="s">
        <v>107</v>
      </c>
      <c r="F64" s="148"/>
      <c r="G64" s="149"/>
      <c r="H64" s="150"/>
      <c r="I64" s="151"/>
      <c r="J64" s="133"/>
      <c r="K64" s="133"/>
      <c r="L64" s="152"/>
      <c r="M64" s="153"/>
      <c r="N64" s="154"/>
    </row>
    <row r="65" spans="1:14" ht="14.25" customHeight="1" thickBot="1" x14ac:dyDescent="0.25">
      <c r="A65" s="72" t="s">
        <v>39</v>
      </c>
      <c r="B65" s="197" t="s">
        <v>110</v>
      </c>
      <c r="C65" s="198"/>
      <c r="D65" s="65"/>
      <c r="E65" s="66"/>
      <c r="F65" s="137"/>
      <c r="G65" s="66" t="s">
        <v>41</v>
      </c>
      <c r="H65" s="138" t="s">
        <v>100</v>
      </c>
      <c r="I65" s="66"/>
      <c r="J65" s="139"/>
      <c r="K65" s="139"/>
      <c r="L65" s="66"/>
      <c r="M65" s="140"/>
      <c r="N65" s="66"/>
    </row>
    <row r="66" spans="1:14" ht="14.25" customHeight="1" x14ac:dyDescent="0.2">
      <c r="A66" s="73" t="s">
        <v>42</v>
      </c>
      <c r="B66" s="199" t="s">
        <v>101</v>
      </c>
      <c r="C66" s="200"/>
      <c r="D66" s="68"/>
      <c r="E66" s="68"/>
      <c r="F66" s="141"/>
      <c r="G66" s="68"/>
      <c r="H66" s="68"/>
      <c r="I66" s="68"/>
      <c r="J66" s="142"/>
      <c r="K66" s="142"/>
      <c r="L66" s="68"/>
      <c r="M66" s="68"/>
      <c r="N66" s="68"/>
    </row>
    <row r="67" spans="1:14" ht="12.75" x14ac:dyDescent="0.2">
      <c r="A67" s="74" t="s">
        <v>44</v>
      </c>
      <c r="B67" s="195" t="s">
        <v>102</v>
      </c>
      <c r="C67" s="196"/>
      <c r="D67" s="57"/>
      <c r="E67" s="57"/>
      <c r="F67" s="143"/>
      <c r="G67" s="57"/>
      <c r="H67" s="57"/>
      <c r="I67" s="57"/>
      <c r="J67" s="144"/>
      <c r="K67" s="144"/>
      <c r="L67" s="57"/>
      <c r="M67" s="57"/>
      <c r="N67" s="57"/>
    </row>
    <row r="68" spans="1:14" ht="12.75" x14ac:dyDescent="0.2">
      <c r="A68" s="75" t="s">
        <v>45</v>
      </c>
      <c r="B68" s="195" t="s">
        <v>103</v>
      </c>
      <c r="C68" s="196"/>
      <c r="D68" s="69"/>
      <c r="E68" s="69"/>
      <c r="F68" s="145"/>
      <c r="G68" s="69"/>
      <c r="H68" s="69"/>
      <c r="I68" s="69"/>
      <c r="J68" s="69"/>
      <c r="K68" s="69"/>
      <c r="L68" s="69"/>
      <c r="M68" s="69"/>
      <c r="N68" s="69"/>
    </row>
    <row r="69" spans="1:14" ht="67.5" x14ac:dyDescent="0.2">
      <c r="A69" s="146"/>
      <c r="B69" s="147">
        <v>1</v>
      </c>
      <c r="C69" s="56" t="s">
        <v>111</v>
      </c>
      <c r="D69" s="133"/>
      <c r="E69" s="58" t="s">
        <v>105</v>
      </c>
      <c r="F69" s="148"/>
      <c r="G69" s="149"/>
      <c r="H69" s="150"/>
      <c r="I69" s="151"/>
      <c r="J69" s="133"/>
      <c r="K69" s="133"/>
      <c r="L69" s="152"/>
      <c r="M69" s="153"/>
      <c r="N69" s="154"/>
    </row>
    <row r="70" spans="1:14" s="64" customFormat="1" ht="33.75" x14ac:dyDescent="0.2">
      <c r="A70" s="146"/>
      <c r="B70" s="147">
        <v>2</v>
      </c>
      <c r="C70" s="56" t="s">
        <v>112</v>
      </c>
      <c r="D70" s="133"/>
      <c r="E70" s="58" t="s">
        <v>107</v>
      </c>
      <c r="F70" s="148"/>
      <c r="G70" s="149"/>
      <c r="H70" s="150"/>
      <c r="I70" s="151"/>
      <c r="J70" s="133"/>
      <c r="K70" s="133"/>
      <c r="L70" s="152"/>
      <c r="M70" s="153"/>
      <c r="N70" s="154"/>
    </row>
    <row r="71" spans="1:14" ht="14.25" customHeight="1" thickBot="1" x14ac:dyDescent="0.25">
      <c r="A71" s="72" t="s">
        <v>39</v>
      </c>
      <c r="B71" s="197" t="s">
        <v>113</v>
      </c>
      <c r="C71" s="198"/>
      <c r="D71" s="65"/>
      <c r="E71" s="66"/>
      <c r="F71" s="137"/>
      <c r="G71" s="66" t="s">
        <v>41</v>
      </c>
      <c r="H71" s="138" t="s">
        <v>100</v>
      </c>
      <c r="I71" s="66"/>
      <c r="J71" s="139"/>
      <c r="K71" s="139"/>
      <c r="L71" s="66"/>
      <c r="M71" s="140"/>
      <c r="N71" s="66"/>
    </row>
    <row r="72" spans="1:14" ht="14.25" customHeight="1" x14ac:dyDescent="0.2">
      <c r="A72" s="73" t="s">
        <v>42</v>
      </c>
      <c r="B72" s="199" t="s">
        <v>101</v>
      </c>
      <c r="C72" s="200"/>
      <c r="D72" s="68"/>
      <c r="E72" s="68"/>
      <c r="F72" s="141"/>
      <c r="G72" s="68"/>
      <c r="H72" s="68"/>
      <c r="I72" s="68"/>
      <c r="J72" s="142"/>
      <c r="K72" s="142"/>
      <c r="L72" s="68"/>
      <c r="M72" s="68"/>
      <c r="N72" s="68"/>
    </row>
    <row r="73" spans="1:14" ht="12.75" x14ac:dyDescent="0.2">
      <c r="A73" s="74" t="s">
        <v>44</v>
      </c>
      <c r="B73" s="195" t="s">
        <v>102</v>
      </c>
      <c r="C73" s="196"/>
      <c r="D73" s="57"/>
      <c r="E73" s="57"/>
      <c r="F73" s="143"/>
      <c r="G73" s="57"/>
      <c r="H73" s="57"/>
      <c r="I73" s="57"/>
      <c r="J73" s="144"/>
      <c r="K73" s="144"/>
      <c r="L73" s="57"/>
      <c r="M73" s="57"/>
      <c r="N73" s="57"/>
    </row>
    <row r="74" spans="1:14" ht="12.75" x14ac:dyDescent="0.2">
      <c r="A74" s="75" t="s">
        <v>45</v>
      </c>
      <c r="B74" s="195" t="s">
        <v>103</v>
      </c>
      <c r="C74" s="196"/>
      <c r="D74" s="69"/>
      <c r="E74" s="69"/>
      <c r="F74" s="145"/>
      <c r="G74" s="69"/>
      <c r="H74" s="69"/>
      <c r="I74" s="69"/>
      <c r="J74" s="69"/>
      <c r="K74" s="69"/>
      <c r="L74" s="69"/>
      <c r="M74" s="69"/>
      <c r="N74" s="69"/>
    </row>
    <row r="75" spans="1:14" ht="67.5" x14ac:dyDescent="0.2">
      <c r="A75" s="146"/>
      <c r="B75" s="147">
        <v>1</v>
      </c>
      <c r="C75" s="56" t="s">
        <v>114</v>
      </c>
      <c r="D75" s="133"/>
      <c r="E75" s="58" t="s">
        <v>105</v>
      </c>
      <c r="F75" s="148"/>
      <c r="G75" s="149"/>
      <c r="H75" s="150"/>
      <c r="I75" s="151"/>
      <c r="J75" s="133"/>
      <c r="K75" s="133"/>
      <c r="L75" s="152"/>
      <c r="M75" s="153"/>
      <c r="N75" s="154"/>
    </row>
    <row r="76" spans="1:14" s="64" customFormat="1" ht="33.75" x14ac:dyDescent="0.2">
      <c r="A76" s="146"/>
      <c r="B76" s="147">
        <v>1</v>
      </c>
      <c r="C76" s="56" t="s">
        <v>112</v>
      </c>
      <c r="D76" s="133"/>
      <c r="E76" s="58" t="s">
        <v>107</v>
      </c>
      <c r="F76" s="148"/>
      <c r="G76" s="149"/>
      <c r="H76" s="150"/>
      <c r="I76" s="151"/>
      <c r="J76" s="133"/>
      <c r="K76" s="133"/>
      <c r="L76" s="152"/>
      <c r="M76" s="153"/>
      <c r="N76" s="154"/>
    </row>
    <row r="77" spans="1:14" ht="14.25" customHeight="1" x14ac:dyDescent="0.2">
      <c r="A77" s="72" t="s">
        <v>39</v>
      </c>
      <c r="B77" s="197" t="s">
        <v>115</v>
      </c>
      <c r="C77" s="198"/>
      <c r="D77" s="65"/>
      <c r="E77" s="66"/>
      <c r="F77" s="137"/>
      <c r="G77" s="66" t="s">
        <v>41</v>
      </c>
      <c r="H77" s="138" t="s">
        <v>100</v>
      </c>
      <c r="I77" s="66"/>
      <c r="J77" s="139"/>
      <c r="K77" s="139"/>
      <c r="L77" s="66"/>
      <c r="M77" s="140"/>
      <c r="N77" s="66"/>
    </row>
    <row r="78" spans="1:14" ht="14.25" customHeight="1" x14ac:dyDescent="0.2">
      <c r="A78" s="73" t="s">
        <v>42</v>
      </c>
      <c r="B78" s="199" t="s">
        <v>101</v>
      </c>
      <c r="C78" s="200"/>
      <c r="D78" s="68"/>
      <c r="E78" s="68"/>
      <c r="F78" s="141"/>
      <c r="G78" s="68"/>
      <c r="H78" s="68"/>
      <c r="I78" s="68"/>
      <c r="J78" s="142"/>
      <c r="K78" s="142"/>
      <c r="L78" s="68"/>
      <c r="M78" s="68"/>
      <c r="N78" s="68"/>
    </row>
    <row r="79" spans="1:14" ht="12.75" x14ac:dyDescent="0.2">
      <c r="A79" s="74" t="s">
        <v>44</v>
      </c>
      <c r="B79" s="195" t="s">
        <v>102</v>
      </c>
      <c r="C79" s="196"/>
      <c r="D79" s="57"/>
      <c r="E79" s="57"/>
      <c r="F79" s="143"/>
      <c r="G79" s="57"/>
      <c r="H79" s="57"/>
      <c r="I79" s="57"/>
      <c r="J79" s="144"/>
      <c r="K79" s="144"/>
      <c r="L79" s="57"/>
      <c r="M79" s="57"/>
      <c r="N79" s="57"/>
    </row>
    <row r="80" spans="1:14" ht="12.75" x14ac:dyDescent="0.2">
      <c r="A80" s="75" t="s">
        <v>45</v>
      </c>
      <c r="B80" s="195" t="s">
        <v>116</v>
      </c>
      <c r="C80" s="196"/>
      <c r="D80" s="69"/>
      <c r="E80" s="69"/>
      <c r="F80" s="145"/>
      <c r="G80" s="69"/>
      <c r="H80" s="69"/>
      <c r="I80" s="69"/>
      <c r="J80" s="69"/>
      <c r="K80" s="69"/>
      <c r="L80" s="69"/>
      <c r="M80" s="69"/>
      <c r="N80" s="69"/>
    </row>
    <row r="81" spans="1:14" ht="67.5" x14ac:dyDescent="0.2">
      <c r="A81" s="146"/>
      <c r="B81" s="147">
        <v>1</v>
      </c>
      <c r="C81" s="56" t="s">
        <v>117</v>
      </c>
      <c r="D81" s="133"/>
      <c r="E81" s="58" t="s">
        <v>105</v>
      </c>
      <c r="F81" s="148"/>
      <c r="G81" s="149"/>
      <c r="H81" s="150"/>
      <c r="I81" s="151"/>
      <c r="J81" s="133"/>
      <c r="K81" s="133"/>
      <c r="L81" s="152"/>
      <c r="M81" s="153"/>
      <c r="N81" s="154"/>
    </row>
    <row r="82" spans="1:14" s="64" customFormat="1" ht="33.75" x14ac:dyDescent="0.2">
      <c r="A82" s="146"/>
      <c r="B82" s="147">
        <v>1</v>
      </c>
      <c r="C82" s="56" t="s">
        <v>106</v>
      </c>
      <c r="D82" s="133"/>
      <c r="E82" s="58" t="s">
        <v>107</v>
      </c>
      <c r="F82" s="148"/>
      <c r="G82" s="149"/>
      <c r="H82" s="150"/>
      <c r="I82" s="151"/>
      <c r="J82" s="133"/>
      <c r="K82" s="133"/>
      <c r="L82" s="152"/>
      <c r="M82" s="153"/>
      <c r="N82" s="154"/>
    </row>
    <row r="83" spans="1:14" s="64" customFormat="1" ht="12.75" x14ac:dyDescent="0.2">
      <c r="A83" s="155" t="s">
        <v>118</v>
      </c>
      <c r="B83" s="156"/>
      <c r="C83" s="156"/>
      <c r="D83" s="157"/>
      <c r="E83" s="158"/>
      <c r="F83" s="159"/>
      <c r="G83" s="160"/>
      <c r="H83" s="161"/>
      <c r="I83" s="162"/>
      <c r="J83" s="163"/>
      <c r="K83" s="163"/>
      <c r="L83" s="164"/>
      <c r="M83" s="165"/>
      <c r="N83" s="166"/>
    </row>
    <row r="84" spans="1:14" s="64" customFormat="1" ht="12.75" x14ac:dyDescent="0.2">
      <c r="A84" s="72" t="s">
        <v>39</v>
      </c>
      <c r="B84" s="197" t="s">
        <v>119</v>
      </c>
      <c r="C84" s="198"/>
      <c r="D84" s="65"/>
      <c r="E84" s="66"/>
      <c r="F84" s="137"/>
      <c r="G84" s="66" t="s">
        <v>41</v>
      </c>
      <c r="H84" s="138" t="s">
        <v>100</v>
      </c>
      <c r="I84" s="66"/>
      <c r="J84" s="139"/>
      <c r="K84" s="139"/>
      <c r="L84" s="66"/>
      <c r="M84" s="140"/>
      <c r="N84" s="66"/>
    </row>
    <row r="85" spans="1:14" s="64" customFormat="1" ht="12.75" x14ac:dyDescent="0.2">
      <c r="A85" s="73" t="s">
        <v>42</v>
      </c>
      <c r="B85" s="199" t="s">
        <v>120</v>
      </c>
      <c r="C85" s="200"/>
      <c r="D85" s="68"/>
      <c r="E85" s="68"/>
      <c r="F85" s="141"/>
      <c r="G85" s="68"/>
      <c r="H85" s="68"/>
      <c r="I85" s="68"/>
      <c r="J85" s="142"/>
      <c r="K85" s="142"/>
      <c r="L85" s="68"/>
      <c r="M85" s="68"/>
      <c r="N85" s="68"/>
    </row>
    <row r="86" spans="1:14" s="64" customFormat="1" ht="12.75" x14ac:dyDescent="0.2">
      <c r="A86" s="74" t="s">
        <v>44</v>
      </c>
      <c r="B86" s="195" t="s">
        <v>102</v>
      </c>
      <c r="C86" s="196"/>
      <c r="D86" s="57"/>
      <c r="E86" s="57"/>
      <c r="F86" s="143"/>
      <c r="G86" s="57"/>
      <c r="H86" s="57"/>
      <c r="I86" s="57"/>
      <c r="J86" s="144"/>
      <c r="K86" s="144"/>
      <c r="L86" s="57"/>
      <c r="M86" s="57"/>
      <c r="N86" s="57"/>
    </row>
    <row r="87" spans="1:14" s="64" customFormat="1" ht="12.75" x14ac:dyDescent="0.2">
      <c r="A87" s="75" t="s">
        <v>45</v>
      </c>
      <c r="B87" s="195" t="s">
        <v>121</v>
      </c>
      <c r="C87" s="196"/>
      <c r="D87" s="69"/>
      <c r="E87" s="69"/>
      <c r="F87" s="145"/>
      <c r="G87" s="69"/>
      <c r="H87" s="69"/>
      <c r="I87" s="69"/>
      <c r="J87" s="69"/>
      <c r="K87" s="69"/>
      <c r="L87" s="69"/>
      <c r="M87" s="69"/>
      <c r="N87" s="69"/>
    </row>
    <row r="88" spans="1:14" s="64" customFormat="1" ht="67.5" x14ac:dyDescent="0.2">
      <c r="A88" s="146"/>
      <c r="B88" s="147">
        <v>1</v>
      </c>
      <c r="C88" s="56" t="s">
        <v>122</v>
      </c>
      <c r="D88" s="133"/>
      <c r="E88" s="58" t="s">
        <v>123</v>
      </c>
      <c r="F88" s="148"/>
      <c r="G88" s="149"/>
      <c r="H88" s="150"/>
      <c r="I88" s="151"/>
      <c r="J88" s="133"/>
      <c r="K88" s="133"/>
      <c r="L88" s="152"/>
      <c r="M88" s="153"/>
      <c r="N88" s="154"/>
    </row>
    <row r="89" spans="1:14" s="64" customFormat="1" ht="12.75" x14ac:dyDescent="0.2">
      <c r="A89" s="72" t="s">
        <v>39</v>
      </c>
      <c r="B89" s="197" t="s">
        <v>124</v>
      </c>
      <c r="C89" s="198"/>
      <c r="D89" s="65"/>
      <c r="E89" s="66"/>
      <c r="F89" s="137"/>
      <c r="G89" s="66" t="s">
        <v>18</v>
      </c>
      <c r="H89" s="138" t="s">
        <v>100</v>
      </c>
      <c r="I89" s="66"/>
      <c r="J89" s="139"/>
      <c r="K89" s="139"/>
      <c r="L89" s="66"/>
      <c r="M89" s="140"/>
      <c r="N89" s="66"/>
    </row>
    <row r="90" spans="1:14" s="64" customFormat="1" ht="12.75" x14ac:dyDescent="0.2">
      <c r="A90" s="73" t="s">
        <v>42</v>
      </c>
      <c r="B90" s="199" t="s">
        <v>120</v>
      </c>
      <c r="C90" s="200"/>
      <c r="D90" s="68"/>
      <c r="E90" s="68"/>
      <c r="F90" s="141"/>
      <c r="G90" s="68"/>
      <c r="H90" s="68"/>
      <c r="I90" s="68"/>
      <c r="J90" s="142"/>
      <c r="K90" s="142"/>
      <c r="L90" s="68"/>
      <c r="M90" s="68"/>
      <c r="N90" s="68"/>
    </row>
    <row r="91" spans="1:14" s="64" customFormat="1" ht="12.75" x14ac:dyDescent="0.2">
      <c r="A91" s="74" t="s">
        <v>44</v>
      </c>
      <c r="B91" s="195" t="s">
        <v>102</v>
      </c>
      <c r="C91" s="196"/>
      <c r="D91" s="57"/>
      <c r="E91" s="57"/>
      <c r="F91" s="143"/>
      <c r="G91" s="57"/>
      <c r="H91" s="57"/>
      <c r="I91" s="57"/>
      <c r="J91" s="144"/>
      <c r="K91" s="144"/>
      <c r="L91" s="57"/>
      <c r="M91" s="57"/>
      <c r="N91" s="57"/>
    </row>
    <row r="92" spans="1:14" s="64" customFormat="1" ht="12.75" x14ac:dyDescent="0.2">
      <c r="A92" s="75" t="s">
        <v>45</v>
      </c>
      <c r="B92" s="195" t="s">
        <v>121</v>
      </c>
      <c r="C92" s="196"/>
      <c r="D92" s="69"/>
      <c r="E92" s="69"/>
      <c r="F92" s="145"/>
      <c r="G92" s="69"/>
      <c r="H92" s="69"/>
      <c r="I92" s="69"/>
      <c r="J92" s="69"/>
      <c r="K92" s="69"/>
      <c r="L92" s="69"/>
      <c r="M92" s="69"/>
      <c r="N92" s="69"/>
    </row>
    <row r="93" spans="1:14" s="64" customFormat="1" ht="67.5" x14ac:dyDescent="0.2">
      <c r="A93" s="146"/>
      <c r="B93" s="147">
        <v>1</v>
      </c>
      <c r="C93" s="56" t="s">
        <v>125</v>
      </c>
      <c r="D93" s="133"/>
      <c r="E93" s="58" t="s">
        <v>123</v>
      </c>
      <c r="F93" s="148" t="s">
        <v>298</v>
      </c>
      <c r="G93" s="149"/>
      <c r="H93" s="150"/>
      <c r="I93" s="151"/>
      <c r="J93" s="133"/>
      <c r="K93" s="133"/>
      <c r="L93" s="152"/>
      <c r="M93" s="153"/>
      <c r="N93" s="154"/>
    </row>
    <row r="94" spans="1:14" ht="11.25" customHeight="1" x14ac:dyDescent="0.2">
      <c r="A94" s="155" t="s">
        <v>126</v>
      </c>
      <c r="B94" s="156"/>
      <c r="C94" s="156"/>
      <c r="D94" s="157"/>
      <c r="E94" s="158"/>
      <c r="F94" s="159"/>
      <c r="G94" s="160"/>
      <c r="H94" s="161"/>
      <c r="I94" s="162"/>
      <c r="J94" s="163"/>
      <c r="K94" s="163"/>
      <c r="L94" s="164"/>
      <c r="M94" s="165"/>
      <c r="N94" s="166"/>
    </row>
    <row r="95" spans="1:14" ht="11.25" customHeight="1" x14ac:dyDescent="0.2">
      <c r="A95" s="72" t="s">
        <v>39</v>
      </c>
      <c r="B95" s="197" t="s">
        <v>127</v>
      </c>
      <c r="C95" s="198"/>
      <c r="D95" s="65"/>
      <c r="E95" s="66"/>
      <c r="F95" s="137"/>
      <c r="G95" s="66" t="s">
        <v>18</v>
      </c>
      <c r="H95" s="138" t="s">
        <v>128</v>
      </c>
      <c r="I95" s="66"/>
      <c r="J95" s="139"/>
      <c r="K95" s="139"/>
      <c r="L95" s="66"/>
      <c r="M95" s="140"/>
      <c r="N95" s="66"/>
    </row>
    <row r="96" spans="1:14" ht="12.75" x14ac:dyDescent="0.2">
      <c r="A96" s="73" t="s">
        <v>42</v>
      </c>
      <c r="B96" s="199" t="s">
        <v>129</v>
      </c>
      <c r="C96" s="200"/>
      <c r="D96" s="68"/>
      <c r="E96" s="68"/>
      <c r="F96" s="141"/>
      <c r="G96" s="68"/>
      <c r="H96" s="68"/>
      <c r="I96" s="68"/>
      <c r="J96" s="142"/>
      <c r="K96" s="142"/>
      <c r="L96" s="68"/>
      <c r="M96" s="68"/>
      <c r="N96" s="68"/>
    </row>
    <row r="97" spans="1:14" ht="12.75" x14ac:dyDescent="0.2">
      <c r="A97" s="74" t="s">
        <v>44</v>
      </c>
      <c r="B97" s="195" t="s">
        <v>130</v>
      </c>
      <c r="C97" s="196"/>
      <c r="D97" s="57"/>
      <c r="E97" s="57"/>
      <c r="F97" s="143"/>
      <c r="G97" s="57"/>
      <c r="H97" s="57"/>
      <c r="I97" s="57"/>
      <c r="J97" s="144"/>
      <c r="K97" s="144"/>
      <c r="L97" s="57"/>
      <c r="M97" s="57"/>
      <c r="N97" s="57"/>
    </row>
    <row r="98" spans="1:14" ht="12.75" x14ac:dyDescent="0.2">
      <c r="A98" s="75" t="s">
        <v>45</v>
      </c>
      <c r="B98" s="195" t="s">
        <v>131</v>
      </c>
      <c r="C98" s="196"/>
      <c r="D98" s="69"/>
      <c r="E98" s="69"/>
      <c r="F98" s="145"/>
      <c r="G98" s="69"/>
      <c r="H98" s="69"/>
      <c r="I98" s="69"/>
      <c r="J98" s="69"/>
      <c r="K98" s="69"/>
      <c r="L98" s="69"/>
      <c r="M98" s="69"/>
      <c r="N98" s="69"/>
    </row>
    <row r="99" spans="1:14" ht="12.75" x14ac:dyDescent="0.2">
      <c r="A99" s="146"/>
      <c r="B99" s="147">
        <v>1</v>
      </c>
      <c r="C99" s="56" t="s">
        <v>132</v>
      </c>
      <c r="D99" s="133"/>
      <c r="E99" s="58" t="s">
        <v>133</v>
      </c>
      <c r="F99" s="148"/>
      <c r="G99" s="149"/>
      <c r="H99" s="150"/>
      <c r="I99" s="151"/>
      <c r="J99" s="133"/>
      <c r="K99" s="133"/>
      <c r="L99" s="152"/>
      <c r="M99" s="153"/>
      <c r="N99" s="154"/>
    </row>
    <row r="100" spans="1:14" s="64" customFormat="1" ht="33.75" x14ac:dyDescent="0.2">
      <c r="A100" s="146"/>
      <c r="B100" s="147">
        <v>2</v>
      </c>
      <c r="C100" s="56" t="s">
        <v>134</v>
      </c>
      <c r="D100" s="133"/>
      <c r="E100" s="58" t="s">
        <v>135</v>
      </c>
      <c r="F100" s="148"/>
      <c r="G100" s="149"/>
      <c r="H100" s="150"/>
      <c r="I100" s="151"/>
      <c r="J100" s="133"/>
      <c r="K100" s="133"/>
      <c r="L100" s="152"/>
      <c r="M100" s="153"/>
      <c r="N100" s="154"/>
    </row>
    <row r="101" spans="1:14" s="64" customFormat="1" ht="22.5" x14ac:dyDescent="0.2">
      <c r="A101" s="146"/>
      <c r="B101" s="147">
        <v>3</v>
      </c>
      <c r="C101" s="56" t="s">
        <v>136</v>
      </c>
      <c r="D101" s="133"/>
      <c r="E101" s="58" t="s">
        <v>137</v>
      </c>
      <c r="F101" s="148"/>
      <c r="G101" s="149"/>
      <c r="H101" s="150"/>
      <c r="I101" s="151"/>
      <c r="J101" s="133"/>
      <c r="K101" s="133"/>
      <c r="L101" s="152"/>
      <c r="M101" s="153"/>
      <c r="N101" s="154"/>
    </row>
    <row r="102" spans="1:14" ht="11.25" customHeight="1" thickBot="1" x14ac:dyDescent="0.25">
      <c r="A102" s="72" t="s">
        <v>39</v>
      </c>
      <c r="B102" s="197" t="s">
        <v>138</v>
      </c>
      <c r="C102" s="198"/>
      <c r="D102" s="65"/>
      <c r="E102" s="66"/>
      <c r="F102" s="137"/>
      <c r="G102" s="66" t="s">
        <v>18</v>
      </c>
      <c r="H102" s="138" t="s">
        <v>128</v>
      </c>
      <c r="I102" s="66"/>
      <c r="J102" s="139"/>
      <c r="K102" s="139"/>
      <c r="L102" s="66"/>
      <c r="M102" s="140"/>
      <c r="N102" s="66"/>
    </row>
    <row r="103" spans="1:14" ht="12.75" x14ac:dyDescent="0.2">
      <c r="A103" s="73" t="s">
        <v>42</v>
      </c>
      <c r="B103" s="199" t="s">
        <v>139</v>
      </c>
      <c r="C103" s="200"/>
      <c r="D103" s="68"/>
      <c r="E103" s="68"/>
      <c r="F103" s="141"/>
      <c r="G103" s="68"/>
      <c r="H103" s="68"/>
      <c r="I103" s="68"/>
      <c r="J103" s="142"/>
      <c r="K103" s="142"/>
      <c r="L103" s="68"/>
      <c r="M103" s="68"/>
      <c r="N103" s="68"/>
    </row>
    <row r="104" spans="1:14" ht="12.75" x14ac:dyDescent="0.2">
      <c r="A104" s="74" t="s">
        <v>44</v>
      </c>
      <c r="B104" s="195" t="s">
        <v>130</v>
      </c>
      <c r="C104" s="196"/>
      <c r="D104" s="57"/>
      <c r="E104" s="57"/>
      <c r="F104" s="143"/>
      <c r="G104" s="57"/>
      <c r="H104" s="57"/>
      <c r="I104" s="57"/>
      <c r="J104" s="144"/>
      <c r="K104" s="144"/>
      <c r="L104" s="57"/>
      <c r="M104" s="57"/>
      <c r="N104" s="57"/>
    </row>
    <row r="105" spans="1:14" ht="12.75" x14ac:dyDescent="0.2">
      <c r="A105" s="75" t="s">
        <v>45</v>
      </c>
      <c r="B105" s="195" t="s">
        <v>131</v>
      </c>
      <c r="C105" s="196"/>
      <c r="D105" s="69"/>
      <c r="E105" s="69"/>
      <c r="F105" s="145"/>
      <c r="G105" s="69"/>
      <c r="H105" s="69"/>
      <c r="I105" s="69"/>
      <c r="J105" s="69"/>
      <c r="K105" s="69"/>
      <c r="L105" s="69"/>
      <c r="M105" s="69"/>
      <c r="N105" s="69"/>
    </row>
    <row r="106" spans="1:14" ht="22.5" x14ac:dyDescent="0.2">
      <c r="A106" s="146"/>
      <c r="B106" s="147">
        <v>1</v>
      </c>
      <c r="C106" s="56" t="s">
        <v>140</v>
      </c>
      <c r="D106" s="133"/>
      <c r="E106" s="58" t="s">
        <v>141</v>
      </c>
      <c r="F106" s="148" t="s">
        <v>295</v>
      </c>
      <c r="G106" s="149"/>
      <c r="H106" s="150"/>
      <c r="I106" s="151"/>
      <c r="J106" s="133"/>
      <c r="K106" s="133"/>
      <c r="L106" s="152"/>
      <c r="M106" s="153"/>
      <c r="N106" s="154"/>
    </row>
    <row r="107" spans="1:14" s="64" customFormat="1" ht="22.5" x14ac:dyDescent="0.2">
      <c r="A107" s="146"/>
      <c r="B107" s="147">
        <v>2</v>
      </c>
      <c r="C107" s="56" t="s">
        <v>142</v>
      </c>
      <c r="D107" s="133"/>
      <c r="E107" s="58" t="s">
        <v>143</v>
      </c>
      <c r="F107" s="148" t="s">
        <v>296</v>
      </c>
      <c r="G107" s="149"/>
      <c r="H107" s="150"/>
      <c r="I107" s="151"/>
      <c r="J107" s="133"/>
      <c r="K107" s="133"/>
      <c r="L107" s="152"/>
      <c r="M107" s="153"/>
      <c r="N107" s="154"/>
    </row>
    <row r="108" spans="1:14" s="64" customFormat="1" ht="12.75" x14ac:dyDescent="0.2">
      <c r="A108" s="146"/>
      <c r="B108" s="147">
        <v>3</v>
      </c>
      <c r="C108" s="56" t="s">
        <v>144</v>
      </c>
      <c r="D108" s="133"/>
      <c r="E108" s="58" t="s">
        <v>145</v>
      </c>
      <c r="F108" s="148"/>
      <c r="G108" s="149"/>
      <c r="H108" s="150"/>
      <c r="I108" s="151"/>
      <c r="J108" s="133"/>
      <c r="K108" s="133"/>
      <c r="L108" s="152"/>
      <c r="M108" s="153"/>
      <c r="N108" s="154"/>
    </row>
    <row r="109" spans="1:14" ht="11.25" customHeight="1" thickBot="1" x14ac:dyDescent="0.25">
      <c r="A109" s="72" t="s">
        <v>39</v>
      </c>
      <c r="B109" s="197" t="s">
        <v>146</v>
      </c>
      <c r="C109" s="198"/>
      <c r="D109" s="65"/>
      <c r="E109" s="66"/>
      <c r="F109" s="137"/>
      <c r="G109" s="66" t="s">
        <v>20</v>
      </c>
      <c r="H109" s="138" t="s">
        <v>128</v>
      </c>
      <c r="I109" s="66"/>
      <c r="J109" s="139"/>
      <c r="K109" s="139"/>
      <c r="L109" s="66"/>
      <c r="M109" s="140"/>
      <c r="N109" s="66"/>
    </row>
    <row r="110" spans="1:14" ht="12.75" x14ac:dyDescent="0.2">
      <c r="A110" s="73" t="s">
        <v>42</v>
      </c>
      <c r="B110" s="199" t="s">
        <v>147</v>
      </c>
      <c r="C110" s="200"/>
      <c r="D110" s="68"/>
      <c r="E110" s="68"/>
      <c r="F110" s="141"/>
      <c r="G110" s="68"/>
      <c r="H110" s="68"/>
      <c r="I110" s="68"/>
      <c r="J110" s="142"/>
      <c r="K110" s="142"/>
      <c r="L110" s="68"/>
      <c r="M110" s="68"/>
      <c r="N110" s="68"/>
    </row>
    <row r="111" spans="1:14" ht="12.75" x14ac:dyDescent="0.2">
      <c r="A111" s="74" t="s">
        <v>44</v>
      </c>
      <c r="B111" s="195" t="s">
        <v>130</v>
      </c>
      <c r="C111" s="196"/>
      <c r="D111" s="57"/>
      <c r="E111" s="57"/>
      <c r="F111" s="143"/>
      <c r="G111" s="57"/>
      <c r="H111" s="57"/>
      <c r="I111" s="57"/>
      <c r="J111" s="144"/>
      <c r="K111" s="144"/>
      <c r="L111" s="57"/>
      <c r="M111" s="57"/>
      <c r="N111" s="57"/>
    </row>
    <row r="112" spans="1:14" ht="12.75" x14ac:dyDescent="0.2">
      <c r="A112" s="75" t="s">
        <v>45</v>
      </c>
      <c r="B112" s="195" t="s">
        <v>148</v>
      </c>
      <c r="C112" s="196"/>
      <c r="D112" s="69"/>
      <c r="E112" s="69"/>
      <c r="F112" s="145"/>
      <c r="G112" s="69"/>
      <c r="H112" s="69"/>
      <c r="I112" s="69"/>
      <c r="J112" s="69"/>
      <c r="K112" s="69"/>
      <c r="L112" s="69"/>
      <c r="M112" s="69"/>
      <c r="N112" s="69"/>
    </row>
    <row r="113" spans="1:14" ht="38.25" x14ac:dyDescent="0.2">
      <c r="A113" s="146"/>
      <c r="B113" s="147">
        <v>1</v>
      </c>
      <c r="C113" s="56" t="s">
        <v>149</v>
      </c>
      <c r="D113" s="133"/>
      <c r="E113" s="58" t="s">
        <v>150</v>
      </c>
      <c r="F113" s="226" t="s">
        <v>297</v>
      </c>
      <c r="G113" s="149"/>
      <c r="H113" s="150"/>
      <c r="I113" s="151"/>
      <c r="J113" s="133"/>
      <c r="K113" s="133"/>
      <c r="L113" s="152"/>
      <c r="M113" s="153"/>
      <c r="N113" s="154"/>
    </row>
    <row r="114" spans="1:14" s="64" customFormat="1" ht="45" x14ac:dyDescent="0.2">
      <c r="A114" s="146"/>
      <c r="B114" s="147">
        <v>1</v>
      </c>
      <c r="C114" s="56" t="s">
        <v>151</v>
      </c>
      <c r="D114" s="133"/>
      <c r="E114" s="58" t="s">
        <v>152</v>
      </c>
      <c r="F114" s="148"/>
      <c r="G114" s="149"/>
      <c r="H114" s="150"/>
      <c r="I114" s="151"/>
      <c r="J114" s="133"/>
      <c r="K114" s="133"/>
      <c r="L114" s="152"/>
      <c r="M114" s="153"/>
      <c r="N114" s="154"/>
    </row>
    <row r="115" spans="1:14" s="64" customFormat="1" ht="22.5" x14ac:dyDescent="0.2">
      <c r="A115" s="146"/>
      <c r="B115" s="147">
        <v>2</v>
      </c>
      <c r="C115" s="56" t="s">
        <v>153</v>
      </c>
      <c r="D115" s="133"/>
      <c r="E115" s="58" t="s">
        <v>154</v>
      </c>
      <c r="F115" s="148"/>
      <c r="G115" s="149"/>
      <c r="H115" s="150"/>
      <c r="I115" s="151"/>
      <c r="J115" s="133"/>
      <c r="K115" s="133"/>
      <c r="L115" s="152"/>
      <c r="M115" s="153"/>
      <c r="N115" s="154"/>
    </row>
    <row r="116" spans="1:14" ht="11.25" customHeight="1" thickBot="1" x14ac:dyDescent="0.25">
      <c r="A116" s="72" t="s">
        <v>39</v>
      </c>
      <c r="B116" s="197" t="s">
        <v>155</v>
      </c>
      <c r="C116" s="198"/>
      <c r="D116" s="65"/>
      <c r="E116" s="66"/>
      <c r="F116" s="137"/>
      <c r="G116" s="66" t="s">
        <v>41</v>
      </c>
      <c r="H116" s="138" t="s">
        <v>128</v>
      </c>
      <c r="I116" s="66"/>
      <c r="J116" s="139"/>
      <c r="K116" s="139"/>
      <c r="L116" s="66"/>
      <c r="M116" s="140"/>
      <c r="N116" s="66"/>
    </row>
    <row r="117" spans="1:14" ht="12.75" x14ac:dyDescent="0.2">
      <c r="A117" s="73" t="s">
        <v>42</v>
      </c>
      <c r="B117" s="199" t="s">
        <v>156</v>
      </c>
      <c r="C117" s="200"/>
      <c r="D117" s="68"/>
      <c r="E117" s="68"/>
      <c r="F117" s="141"/>
      <c r="G117" s="68"/>
      <c r="H117" s="68"/>
      <c r="I117" s="68"/>
      <c r="J117" s="142"/>
      <c r="K117" s="142"/>
      <c r="L117" s="68"/>
      <c r="M117" s="68"/>
      <c r="N117" s="68"/>
    </row>
    <row r="118" spans="1:14" ht="12.75" x14ac:dyDescent="0.2">
      <c r="A118" s="74" t="s">
        <v>44</v>
      </c>
      <c r="B118" s="195" t="s">
        <v>157</v>
      </c>
      <c r="C118" s="196"/>
      <c r="D118" s="57"/>
      <c r="E118" s="57"/>
      <c r="F118" s="143"/>
      <c r="G118" s="57"/>
      <c r="H118" s="57"/>
      <c r="I118" s="57"/>
      <c r="J118" s="144"/>
      <c r="K118" s="144"/>
      <c r="L118" s="57"/>
      <c r="M118" s="57"/>
      <c r="N118" s="57"/>
    </row>
    <row r="119" spans="1:14" ht="12.75" x14ac:dyDescent="0.2">
      <c r="A119" s="75" t="s">
        <v>45</v>
      </c>
      <c r="B119" s="195" t="s">
        <v>148</v>
      </c>
      <c r="C119" s="196"/>
      <c r="D119" s="69"/>
      <c r="E119" s="69"/>
      <c r="F119" s="145"/>
      <c r="G119" s="69"/>
      <c r="H119" s="69"/>
      <c r="I119" s="69"/>
      <c r="J119" s="69"/>
      <c r="K119" s="69"/>
      <c r="L119" s="69"/>
      <c r="M119" s="69"/>
      <c r="N119" s="69"/>
    </row>
    <row r="120" spans="1:14" ht="22.5" x14ac:dyDescent="0.2">
      <c r="A120" s="146"/>
      <c r="B120" s="147">
        <v>1</v>
      </c>
      <c r="C120" s="56" t="s">
        <v>149</v>
      </c>
      <c r="D120" s="133"/>
      <c r="E120" s="58" t="s">
        <v>158</v>
      </c>
      <c r="F120" s="148"/>
      <c r="G120" s="149"/>
      <c r="H120" s="150"/>
      <c r="I120" s="151"/>
      <c r="J120" s="133"/>
      <c r="K120" s="133"/>
      <c r="L120" s="152"/>
      <c r="M120" s="153"/>
      <c r="N120" s="154"/>
    </row>
    <row r="121" spans="1:14" s="64" customFormat="1" ht="22.5" x14ac:dyDescent="0.2">
      <c r="A121" s="146"/>
      <c r="B121" s="147">
        <v>1</v>
      </c>
      <c r="C121" s="56" t="s">
        <v>159</v>
      </c>
      <c r="D121" s="133"/>
      <c r="E121" s="58" t="s">
        <v>160</v>
      </c>
      <c r="F121" s="148"/>
      <c r="G121" s="149"/>
      <c r="H121" s="150"/>
      <c r="I121" s="151"/>
      <c r="J121" s="133"/>
      <c r="K121" s="133"/>
      <c r="L121" s="152"/>
      <c r="M121" s="153"/>
      <c r="N121" s="154"/>
    </row>
    <row r="122" spans="1:14" ht="11.25" customHeight="1" thickBot="1" x14ac:dyDescent="0.25">
      <c r="A122" s="72" t="s">
        <v>39</v>
      </c>
      <c r="B122" s="197" t="s">
        <v>161</v>
      </c>
      <c r="C122" s="198"/>
      <c r="D122" s="65"/>
      <c r="E122" s="66"/>
      <c r="F122" s="137"/>
      <c r="G122" s="66" t="s">
        <v>18</v>
      </c>
      <c r="H122" s="138" t="s">
        <v>128</v>
      </c>
      <c r="I122" s="66"/>
      <c r="J122" s="139"/>
      <c r="K122" s="139"/>
      <c r="L122" s="66"/>
      <c r="M122" s="140"/>
      <c r="N122" s="66"/>
    </row>
    <row r="123" spans="1:14" ht="12.75" x14ac:dyDescent="0.2">
      <c r="A123" s="73" t="s">
        <v>42</v>
      </c>
      <c r="B123" s="199" t="s">
        <v>162</v>
      </c>
      <c r="C123" s="200"/>
      <c r="D123" s="68"/>
      <c r="E123" s="68"/>
      <c r="F123" s="141"/>
      <c r="G123" s="68"/>
      <c r="H123" s="68"/>
      <c r="I123" s="68"/>
      <c r="J123" s="142"/>
      <c r="K123" s="142"/>
      <c r="L123" s="68"/>
      <c r="M123" s="68"/>
      <c r="N123" s="68"/>
    </row>
    <row r="124" spans="1:14" ht="12.75" x14ac:dyDescent="0.2">
      <c r="A124" s="74" t="s">
        <v>44</v>
      </c>
      <c r="B124" s="195" t="s">
        <v>130</v>
      </c>
      <c r="C124" s="196"/>
      <c r="D124" s="57"/>
      <c r="E124" s="57"/>
      <c r="F124" s="143"/>
      <c r="G124" s="57"/>
      <c r="H124" s="57"/>
      <c r="I124" s="57"/>
      <c r="J124" s="144"/>
      <c r="K124" s="144"/>
      <c r="L124" s="57"/>
      <c r="M124" s="57"/>
      <c r="N124" s="57"/>
    </row>
    <row r="125" spans="1:14" ht="12.75" x14ac:dyDescent="0.2">
      <c r="A125" s="75" t="s">
        <v>45</v>
      </c>
      <c r="B125" s="195" t="s">
        <v>163</v>
      </c>
      <c r="C125" s="196"/>
      <c r="D125" s="69"/>
      <c r="E125" s="69"/>
      <c r="F125" s="145"/>
      <c r="G125" s="69"/>
      <c r="H125" s="69"/>
      <c r="I125" s="69"/>
      <c r="J125" s="69"/>
      <c r="K125" s="69"/>
      <c r="L125" s="69"/>
      <c r="M125" s="69"/>
      <c r="N125" s="69"/>
    </row>
    <row r="126" spans="1:14" s="64" customFormat="1" ht="45" x14ac:dyDescent="0.2">
      <c r="A126" s="146"/>
      <c r="B126" s="147">
        <v>1</v>
      </c>
      <c r="C126" s="56" t="s">
        <v>164</v>
      </c>
      <c r="D126" s="133"/>
      <c r="E126" s="58" t="s">
        <v>165</v>
      </c>
      <c r="F126" s="148" t="s">
        <v>290</v>
      </c>
      <c r="G126" s="149"/>
      <c r="H126" s="150"/>
      <c r="I126" s="151"/>
      <c r="J126" s="133"/>
      <c r="K126" s="133"/>
      <c r="L126" s="152"/>
      <c r="M126" s="153"/>
      <c r="N126" s="154"/>
    </row>
    <row r="127" spans="1:14" ht="11.25" customHeight="1" thickBot="1" x14ac:dyDescent="0.25">
      <c r="A127" s="72" t="s">
        <v>39</v>
      </c>
      <c r="B127" s="197" t="s">
        <v>166</v>
      </c>
      <c r="C127" s="198"/>
      <c r="D127" s="65"/>
      <c r="E127" s="66"/>
      <c r="F127" s="137"/>
      <c r="G127" s="66" t="s">
        <v>18</v>
      </c>
      <c r="H127" s="138" t="s">
        <v>128</v>
      </c>
      <c r="I127" s="66"/>
      <c r="J127" s="139"/>
      <c r="K127" s="139"/>
      <c r="L127" s="66"/>
      <c r="M127" s="140"/>
      <c r="N127" s="66"/>
    </row>
    <row r="128" spans="1:14" ht="12.75" x14ac:dyDescent="0.2">
      <c r="A128" s="73" t="s">
        <v>42</v>
      </c>
      <c r="B128" s="199" t="s">
        <v>167</v>
      </c>
      <c r="C128" s="200"/>
      <c r="D128" s="68"/>
      <c r="E128" s="68"/>
      <c r="F128" s="141"/>
      <c r="G128" s="68"/>
      <c r="H128" s="68"/>
      <c r="I128" s="68"/>
      <c r="J128" s="142"/>
      <c r="K128" s="142"/>
      <c r="L128" s="68"/>
      <c r="M128" s="68"/>
      <c r="N128" s="68"/>
    </row>
    <row r="129" spans="1:14" ht="12.75" x14ac:dyDescent="0.2">
      <c r="A129" s="74" t="s">
        <v>44</v>
      </c>
      <c r="B129" s="195" t="s">
        <v>130</v>
      </c>
      <c r="C129" s="196"/>
      <c r="D129" s="57"/>
      <c r="E129" s="57"/>
      <c r="F129" s="143"/>
      <c r="G129" s="57"/>
      <c r="H129" s="57"/>
      <c r="I129" s="57"/>
      <c r="J129" s="144"/>
      <c r="K129" s="144"/>
      <c r="L129" s="57"/>
      <c r="M129" s="57"/>
      <c r="N129" s="57"/>
    </row>
    <row r="130" spans="1:14" ht="12.75" x14ac:dyDescent="0.2">
      <c r="A130" s="75" t="s">
        <v>45</v>
      </c>
      <c r="B130" s="195" t="s">
        <v>163</v>
      </c>
      <c r="C130" s="196"/>
      <c r="D130" s="69"/>
      <c r="E130" s="69"/>
      <c r="F130" s="145"/>
      <c r="G130" s="69"/>
      <c r="H130" s="69"/>
      <c r="I130" s="69"/>
      <c r="J130" s="69"/>
      <c r="K130" s="69"/>
      <c r="L130" s="69"/>
      <c r="M130" s="69"/>
      <c r="N130" s="69"/>
    </row>
    <row r="131" spans="1:14" s="64" customFormat="1" ht="45" x14ac:dyDescent="0.2">
      <c r="A131" s="146"/>
      <c r="B131" s="147">
        <v>1</v>
      </c>
      <c r="C131" s="56" t="s">
        <v>168</v>
      </c>
      <c r="D131" s="133"/>
      <c r="E131" s="58" t="s">
        <v>169</v>
      </c>
      <c r="F131" s="148" t="s">
        <v>289</v>
      </c>
      <c r="G131" s="149"/>
      <c r="H131" s="150"/>
      <c r="I131" s="151"/>
      <c r="J131" s="133"/>
      <c r="K131" s="133"/>
      <c r="L131" s="152"/>
      <c r="M131" s="153"/>
      <c r="N131" s="154"/>
    </row>
    <row r="132" spans="1:14" ht="11.25" customHeight="1" thickBot="1" x14ac:dyDescent="0.25">
      <c r="A132" s="72" t="s">
        <v>39</v>
      </c>
      <c r="B132" s="197" t="s">
        <v>170</v>
      </c>
      <c r="C132" s="198"/>
      <c r="D132" s="65"/>
      <c r="E132" s="66"/>
      <c r="F132" s="137"/>
      <c r="G132" s="66" t="s">
        <v>18</v>
      </c>
      <c r="H132" s="138" t="s">
        <v>128</v>
      </c>
      <c r="I132" s="66"/>
      <c r="J132" s="139"/>
      <c r="K132" s="139"/>
      <c r="L132" s="66"/>
      <c r="M132" s="140"/>
      <c r="N132" s="66"/>
    </row>
    <row r="133" spans="1:14" ht="11.25" customHeight="1" x14ac:dyDescent="0.2">
      <c r="A133" s="73" t="s">
        <v>42</v>
      </c>
      <c r="B133" s="199" t="s">
        <v>171</v>
      </c>
      <c r="C133" s="200"/>
      <c r="D133" s="68"/>
      <c r="E133" s="68"/>
      <c r="F133" s="141"/>
      <c r="G133" s="68"/>
      <c r="H133" s="68"/>
      <c r="I133" s="68"/>
      <c r="J133" s="142"/>
      <c r="K133" s="142"/>
      <c r="L133" s="68"/>
      <c r="M133" s="68"/>
      <c r="N133" s="68"/>
    </row>
    <row r="134" spans="1:14" ht="12.75" customHeight="1" x14ac:dyDescent="0.2">
      <c r="A134" s="74" t="s">
        <v>44</v>
      </c>
      <c r="B134" s="195" t="s">
        <v>130</v>
      </c>
      <c r="C134" s="196"/>
      <c r="D134" s="57"/>
      <c r="E134" s="57"/>
      <c r="F134" s="143"/>
      <c r="G134" s="57"/>
      <c r="H134" s="57"/>
      <c r="I134" s="57"/>
      <c r="J134" s="144"/>
      <c r="K134" s="144"/>
      <c r="L134" s="57"/>
      <c r="M134" s="57"/>
      <c r="N134" s="57"/>
    </row>
    <row r="135" spans="1:14" ht="11.25" customHeight="1" x14ac:dyDescent="0.2">
      <c r="A135" s="75" t="s">
        <v>45</v>
      </c>
      <c r="B135" s="195" t="s">
        <v>172</v>
      </c>
      <c r="C135" s="196"/>
      <c r="D135" s="69"/>
      <c r="E135" s="69"/>
      <c r="F135" s="145"/>
      <c r="G135" s="69"/>
      <c r="H135" s="69"/>
      <c r="I135" s="69"/>
      <c r="J135" s="69"/>
      <c r="K135" s="69"/>
      <c r="L135" s="69"/>
      <c r="M135" s="69"/>
      <c r="N135" s="69"/>
    </row>
    <row r="136" spans="1:14" ht="56.25" x14ac:dyDescent="0.2">
      <c r="A136" s="146"/>
      <c r="B136" s="147">
        <v>1</v>
      </c>
      <c r="C136" s="56" t="s">
        <v>286</v>
      </c>
      <c r="D136" s="133"/>
      <c r="E136" s="58" t="s">
        <v>173</v>
      </c>
      <c r="F136" s="226" t="s">
        <v>287</v>
      </c>
      <c r="G136" s="149"/>
      <c r="H136" s="150"/>
      <c r="I136" s="151"/>
      <c r="J136" s="133"/>
      <c r="K136" s="133"/>
      <c r="L136" s="152"/>
      <c r="M136" s="153"/>
      <c r="N136" s="154"/>
    </row>
    <row r="137" spans="1:14" ht="11.25" customHeight="1" thickBot="1" x14ac:dyDescent="0.25">
      <c r="A137" s="72" t="s">
        <v>39</v>
      </c>
      <c r="B137" s="197" t="s">
        <v>174</v>
      </c>
      <c r="C137" s="198"/>
      <c r="D137" s="65"/>
      <c r="E137" s="66"/>
      <c r="F137" s="137"/>
      <c r="G137" s="66" t="s">
        <v>18</v>
      </c>
      <c r="H137" s="138" t="s">
        <v>128</v>
      </c>
      <c r="I137" s="66"/>
      <c r="J137" s="139"/>
      <c r="K137" s="139"/>
      <c r="L137" s="66"/>
      <c r="M137" s="140"/>
      <c r="N137" s="66"/>
    </row>
    <row r="138" spans="1:14" ht="11.25" customHeight="1" x14ac:dyDescent="0.2">
      <c r="A138" s="73" t="s">
        <v>42</v>
      </c>
      <c r="B138" s="199" t="s">
        <v>175</v>
      </c>
      <c r="C138" s="200"/>
      <c r="D138" s="68"/>
      <c r="E138" s="68"/>
      <c r="F138" s="141"/>
      <c r="G138" s="68"/>
      <c r="H138" s="68"/>
      <c r="I138" s="68"/>
      <c r="J138" s="142"/>
      <c r="K138" s="142"/>
      <c r="L138" s="68"/>
      <c r="M138" s="68"/>
      <c r="N138" s="68"/>
    </row>
    <row r="139" spans="1:14" ht="12.75" customHeight="1" x14ac:dyDescent="0.2">
      <c r="A139" s="74" t="s">
        <v>44</v>
      </c>
      <c r="B139" s="195" t="s">
        <v>130</v>
      </c>
      <c r="C139" s="196"/>
      <c r="D139" s="57"/>
      <c r="E139" s="57"/>
      <c r="F139" s="143"/>
      <c r="G139" s="57"/>
      <c r="H139" s="57"/>
      <c r="I139" s="57"/>
      <c r="J139" s="144"/>
      <c r="K139" s="144"/>
      <c r="L139" s="57"/>
      <c r="M139" s="57"/>
      <c r="N139" s="57"/>
    </row>
    <row r="140" spans="1:14" ht="11.25" customHeight="1" x14ac:dyDescent="0.2">
      <c r="A140" s="75" t="s">
        <v>45</v>
      </c>
      <c r="B140" s="195" t="s">
        <v>176</v>
      </c>
      <c r="C140" s="196"/>
      <c r="D140" s="69"/>
      <c r="E140" s="69"/>
      <c r="F140" s="145"/>
      <c r="G140" s="69"/>
      <c r="H140" s="69"/>
      <c r="I140" s="69"/>
      <c r="J140" s="69"/>
      <c r="K140" s="69"/>
      <c r="L140" s="69"/>
      <c r="M140" s="69"/>
      <c r="N140" s="69"/>
    </row>
    <row r="141" spans="1:14" ht="45" x14ac:dyDescent="0.2">
      <c r="A141" s="146"/>
      <c r="B141" s="147">
        <v>1</v>
      </c>
      <c r="C141" s="56" t="s">
        <v>177</v>
      </c>
      <c r="D141" s="133"/>
      <c r="E141" s="58" t="s">
        <v>178</v>
      </c>
      <c r="F141" s="148" t="s">
        <v>288</v>
      </c>
      <c r="G141" s="149"/>
      <c r="H141" s="150"/>
      <c r="I141" s="151"/>
      <c r="J141" s="133"/>
      <c r="K141" s="133"/>
      <c r="L141" s="152"/>
      <c r="M141" s="153"/>
      <c r="N141" s="154"/>
    </row>
    <row r="142" spans="1:14" ht="13.5" thickBot="1" x14ac:dyDescent="0.25">
      <c r="A142" s="72" t="s">
        <v>39</v>
      </c>
      <c r="B142" s="197" t="s">
        <v>179</v>
      </c>
      <c r="C142" s="198"/>
      <c r="D142" s="65"/>
      <c r="E142" s="66"/>
      <c r="F142" s="137"/>
      <c r="G142" s="66" t="s">
        <v>20</v>
      </c>
      <c r="H142" s="138" t="s">
        <v>128</v>
      </c>
      <c r="I142" s="66"/>
      <c r="J142" s="139"/>
      <c r="K142" s="139"/>
      <c r="L142" s="66"/>
      <c r="M142" s="140"/>
      <c r="N142" s="66"/>
    </row>
    <row r="143" spans="1:14" ht="12.75" x14ac:dyDescent="0.2">
      <c r="A143" s="73" t="s">
        <v>42</v>
      </c>
      <c r="B143" s="199" t="s">
        <v>180</v>
      </c>
      <c r="C143" s="200"/>
      <c r="D143" s="68"/>
      <c r="E143" s="68"/>
      <c r="F143" s="141"/>
      <c r="G143" s="68"/>
      <c r="H143" s="68"/>
      <c r="I143" s="68"/>
      <c r="J143" s="142"/>
      <c r="K143" s="142"/>
      <c r="L143" s="68"/>
      <c r="M143" s="68"/>
      <c r="N143" s="68"/>
    </row>
    <row r="144" spans="1:14" ht="12.75" x14ac:dyDescent="0.2">
      <c r="A144" s="74" t="s">
        <v>44</v>
      </c>
      <c r="B144" s="195" t="s">
        <v>130</v>
      </c>
      <c r="C144" s="196"/>
      <c r="D144" s="57"/>
      <c r="E144" s="57"/>
      <c r="F144" s="143"/>
      <c r="G144" s="57"/>
      <c r="H144" s="57"/>
      <c r="I144" s="57"/>
      <c r="J144" s="144"/>
      <c r="K144" s="144"/>
      <c r="L144" s="57"/>
      <c r="M144" s="57"/>
      <c r="N144" s="57"/>
    </row>
    <row r="145" spans="1:14" ht="12.75" x14ac:dyDescent="0.2">
      <c r="A145" s="75" t="s">
        <v>45</v>
      </c>
      <c r="B145" s="195" t="s">
        <v>181</v>
      </c>
      <c r="C145" s="196"/>
      <c r="D145" s="69"/>
      <c r="E145" s="69"/>
      <c r="F145" s="145"/>
      <c r="G145" s="69"/>
      <c r="H145" s="69"/>
      <c r="I145" s="69"/>
      <c r="J145" s="69"/>
      <c r="K145" s="69"/>
      <c r="L145" s="69"/>
      <c r="M145" s="69"/>
      <c r="N145" s="69"/>
    </row>
    <row r="146" spans="1:14" ht="90" x14ac:dyDescent="0.2">
      <c r="A146" s="146"/>
      <c r="B146" s="147">
        <v>1</v>
      </c>
      <c r="C146" s="56" t="s">
        <v>182</v>
      </c>
      <c r="D146" s="133"/>
      <c r="E146" s="58" t="s">
        <v>183</v>
      </c>
      <c r="F146" s="148" t="s">
        <v>293</v>
      </c>
      <c r="G146" s="149"/>
      <c r="H146" s="150"/>
      <c r="I146" s="151"/>
      <c r="J146" s="133"/>
      <c r="K146" s="133"/>
      <c r="L146" s="152"/>
      <c r="M146" s="153"/>
      <c r="N146" s="154"/>
    </row>
    <row r="147" spans="1:14" ht="11.25" customHeight="1" thickBot="1" x14ac:dyDescent="0.25">
      <c r="A147" s="72" t="s">
        <v>39</v>
      </c>
      <c r="B147" s="197" t="s">
        <v>184</v>
      </c>
      <c r="C147" s="198"/>
      <c r="D147" s="65"/>
      <c r="E147" s="66"/>
      <c r="F147" s="137"/>
      <c r="G147" s="66" t="s">
        <v>41</v>
      </c>
      <c r="H147" s="138" t="s">
        <v>128</v>
      </c>
      <c r="I147" s="66"/>
      <c r="J147" s="139"/>
      <c r="K147" s="139"/>
      <c r="L147" s="66"/>
      <c r="M147" s="140"/>
      <c r="N147" s="66"/>
    </row>
    <row r="148" spans="1:14" ht="11.25" customHeight="1" x14ac:dyDescent="0.2">
      <c r="A148" s="73" t="s">
        <v>42</v>
      </c>
      <c r="B148" s="199" t="s">
        <v>185</v>
      </c>
      <c r="C148" s="200"/>
      <c r="D148" s="68"/>
      <c r="E148" s="68"/>
      <c r="F148" s="141"/>
      <c r="G148" s="68"/>
      <c r="H148" s="68"/>
      <c r="I148" s="68"/>
      <c r="J148" s="142"/>
      <c r="K148" s="142"/>
      <c r="L148" s="68"/>
      <c r="M148" s="68"/>
      <c r="N148" s="68"/>
    </row>
    <row r="149" spans="1:14" ht="12.75" customHeight="1" x14ac:dyDescent="0.2">
      <c r="A149" s="74" t="s">
        <v>44</v>
      </c>
      <c r="B149" s="195" t="s">
        <v>130</v>
      </c>
      <c r="C149" s="196"/>
      <c r="D149" s="57"/>
      <c r="E149" s="57"/>
      <c r="F149" s="143"/>
      <c r="G149" s="57"/>
      <c r="H149" s="57"/>
      <c r="I149" s="57"/>
      <c r="J149" s="144"/>
      <c r="K149" s="144"/>
      <c r="L149" s="57"/>
      <c r="M149" s="57"/>
      <c r="N149" s="57"/>
    </row>
    <row r="150" spans="1:14" ht="11.25" customHeight="1" x14ac:dyDescent="0.2">
      <c r="A150" s="75" t="s">
        <v>45</v>
      </c>
      <c r="B150" s="195" t="s">
        <v>186</v>
      </c>
      <c r="C150" s="196"/>
      <c r="D150" s="69"/>
      <c r="E150" s="69"/>
      <c r="F150" s="145"/>
      <c r="G150" s="69"/>
      <c r="H150" s="69"/>
      <c r="I150" s="69"/>
      <c r="J150" s="69"/>
      <c r="K150" s="69"/>
      <c r="L150" s="69"/>
      <c r="M150" s="69"/>
      <c r="N150" s="69"/>
    </row>
    <row r="151" spans="1:14" ht="33.75" x14ac:dyDescent="0.2">
      <c r="A151" s="146"/>
      <c r="B151" s="147">
        <v>1</v>
      </c>
      <c r="C151" s="56" t="s">
        <v>187</v>
      </c>
      <c r="D151" s="133"/>
      <c r="E151" s="58" t="s">
        <v>188</v>
      </c>
      <c r="F151" s="148"/>
      <c r="G151" s="149"/>
      <c r="H151" s="150"/>
      <c r="I151" s="151"/>
      <c r="J151" s="133"/>
      <c r="K151" s="133"/>
      <c r="L151" s="152"/>
      <c r="M151" s="153"/>
      <c r="N151" s="154"/>
    </row>
    <row r="152" spans="1:14" ht="11.25" customHeight="1" thickBot="1" x14ac:dyDescent="0.25">
      <c r="A152" s="72" t="s">
        <v>39</v>
      </c>
      <c r="B152" s="197" t="s">
        <v>189</v>
      </c>
      <c r="C152" s="198"/>
      <c r="D152" s="65"/>
      <c r="E152" s="66"/>
      <c r="F152" s="137"/>
      <c r="G152" s="66" t="s">
        <v>41</v>
      </c>
      <c r="H152" s="138" t="s">
        <v>128</v>
      </c>
      <c r="I152" s="66"/>
      <c r="J152" s="139"/>
      <c r="K152" s="139"/>
      <c r="L152" s="66"/>
      <c r="M152" s="140"/>
      <c r="N152" s="66"/>
    </row>
    <row r="153" spans="1:14" ht="11.25" customHeight="1" x14ac:dyDescent="0.2">
      <c r="A153" s="73" t="s">
        <v>42</v>
      </c>
      <c r="B153" s="199" t="s">
        <v>190</v>
      </c>
      <c r="C153" s="200"/>
      <c r="D153" s="68"/>
      <c r="E153" s="68"/>
      <c r="F153" s="141"/>
      <c r="G153" s="68"/>
      <c r="H153" s="68"/>
      <c r="I153" s="68"/>
      <c r="J153" s="142"/>
      <c r="K153" s="142"/>
      <c r="L153" s="68"/>
      <c r="M153" s="68"/>
      <c r="N153" s="68"/>
    </row>
    <row r="154" spans="1:14" ht="12.75" customHeight="1" x14ac:dyDescent="0.2">
      <c r="A154" s="74" t="s">
        <v>44</v>
      </c>
      <c r="B154" s="195" t="s">
        <v>130</v>
      </c>
      <c r="C154" s="196"/>
      <c r="D154" s="57"/>
      <c r="E154" s="57"/>
      <c r="F154" s="143"/>
      <c r="G154" s="57"/>
      <c r="H154" s="57"/>
      <c r="I154" s="57"/>
      <c r="J154" s="144"/>
      <c r="K154" s="144"/>
      <c r="L154" s="57"/>
      <c r="M154" s="57"/>
      <c r="N154" s="57"/>
    </row>
    <row r="155" spans="1:14" ht="11.25" customHeight="1" x14ac:dyDescent="0.2">
      <c r="A155" s="75" t="s">
        <v>45</v>
      </c>
      <c r="B155" s="195" t="s">
        <v>186</v>
      </c>
      <c r="C155" s="196"/>
      <c r="D155" s="69"/>
      <c r="E155" s="69"/>
      <c r="F155" s="145"/>
      <c r="G155" s="69"/>
      <c r="H155" s="69"/>
      <c r="I155" s="69"/>
      <c r="J155" s="69"/>
      <c r="K155" s="69"/>
      <c r="L155" s="69"/>
      <c r="M155" s="69"/>
      <c r="N155" s="69"/>
    </row>
    <row r="156" spans="1:14" ht="33.75" x14ac:dyDescent="0.2">
      <c r="A156" s="146"/>
      <c r="B156" s="147"/>
      <c r="C156" s="56" t="s">
        <v>191</v>
      </c>
      <c r="D156" s="133"/>
      <c r="E156" s="58" t="s">
        <v>135</v>
      </c>
      <c r="F156" s="148"/>
      <c r="G156" s="149"/>
      <c r="H156" s="150"/>
      <c r="I156" s="151"/>
      <c r="J156" s="133"/>
      <c r="K156" s="133"/>
      <c r="L156" s="152"/>
      <c r="M156" s="153"/>
      <c r="N156" s="154"/>
    </row>
    <row r="157" spans="1:14" ht="11.25" customHeight="1" thickBot="1" x14ac:dyDescent="0.25">
      <c r="A157" s="72" t="s">
        <v>39</v>
      </c>
      <c r="B157" s="197" t="s">
        <v>192</v>
      </c>
      <c r="C157" s="198"/>
      <c r="D157" s="65"/>
      <c r="E157" s="66"/>
      <c r="F157" s="137"/>
      <c r="G157" s="66" t="s">
        <v>41</v>
      </c>
      <c r="H157" s="138" t="s">
        <v>128</v>
      </c>
      <c r="I157" s="66"/>
      <c r="J157" s="139"/>
      <c r="K157" s="139"/>
      <c r="L157" s="66"/>
      <c r="M157" s="140"/>
      <c r="N157" s="66"/>
    </row>
    <row r="158" spans="1:14" ht="11.25" customHeight="1" x14ac:dyDescent="0.2">
      <c r="A158" s="73" t="s">
        <v>42</v>
      </c>
      <c r="B158" s="199" t="s">
        <v>193</v>
      </c>
      <c r="C158" s="200"/>
      <c r="D158" s="68"/>
      <c r="E158" s="68"/>
      <c r="F158" s="141"/>
      <c r="G158" s="68"/>
      <c r="H158" s="68"/>
      <c r="I158" s="68"/>
      <c r="J158" s="142"/>
      <c r="K158" s="142"/>
      <c r="L158" s="68"/>
      <c r="M158" s="68"/>
      <c r="N158" s="68"/>
    </row>
    <row r="159" spans="1:14" ht="12.75" customHeight="1" x14ac:dyDescent="0.2">
      <c r="A159" s="74" t="s">
        <v>44</v>
      </c>
      <c r="B159" s="195" t="s">
        <v>130</v>
      </c>
      <c r="C159" s="196"/>
      <c r="D159" s="57"/>
      <c r="E159" s="57"/>
      <c r="F159" s="143"/>
      <c r="G159" s="57"/>
      <c r="H159" s="57"/>
      <c r="I159" s="57"/>
      <c r="J159" s="144"/>
      <c r="K159" s="144"/>
      <c r="L159" s="57"/>
      <c r="M159" s="57"/>
      <c r="N159" s="57"/>
    </row>
    <row r="160" spans="1:14" ht="11.25" customHeight="1" x14ac:dyDescent="0.2">
      <c r="A160" s="75" t="s">
        <v>45</v>
      </c>
      <c r="B160" s="195" t="s">
        <v>194</v>
      </c>
      <c r="C160" s="196"/>
      <c r="D160" s="69"/>
      <c r="E160" s="69"/>
      <c r="F160" s="145"/>
      <c r="G160" s="69"/>
      <c r="H160" s="69"/>
      <c r="I160" s="69"/>
      <c r="J160" s="69"/>
      <c r="K160" s="69"/>
      <c r="L160" s="69"/>
      <c r="M160" s="69"/>
      <c r="N160" s="69"/>
    </row>
    <row r="161" spans="1:14" ht="33.75" x14ac:dyDescent="0.2">
      <c r="A161" s="146"/>
      <c r="B161" s="147">
        <v>1</v>
      </c>
      <c r="C161" s="56" t="s">
        <v>195</v>
      </c>
      <c r="D161" s="133"/>
      <c r="E161" s="58" t="s">
        <v>196</v>
      </c>
      <c r="F161" s="148"/>
      <c r="G161" s="149"/>
      <c r="H161" s="150"/>
      <c r="I161" s="151"/>
      <c r="J161" s="133"/>
      <c r="K161" s="133"/>
      <c r="L161" s="152"/>
      <c r="M161" s="153"/>
      <c r="N161" s="154"/>
    </row>
    <row r="162" spans="1:14" ht="11.25" customHeight="1" thickBot="1" x14ac:dyDescent="0.25">
      <c r="A162" s="72" t="s">
        <v>39</v>
      </c>
      <c r="B162" s="197" t="s">
        <v>197</v>
      </c>
      <c r="C162" s="198"/>
      <c r="D162" s="65"/>
      <c r="E162" s="66"/>
      <c r="F162" s="137"/>
      <c r="G162" s="66" t="s">
        <v>41</v>
      </c>
      <c r="H162" s="138" t="s">
        <v>128</v>
      </c>
      <c r="I162" s="66"/>
      <c r="J162" s="139"/>
      <c r="K162" s="139"/>
      <c r="L162" s="66"/>
      <c r="M162" s="140"/>
      <c r="N162" s="66"/>
    </row>
    <row r="163" spans="1:14" ht="11.25" customHeight="1" x14ac:dyDescent="0.2">
      <c r="A163" s="73" t="s">
        <v>42</v>
      </c>
      <c r="B163" s="199" t="s">
        <v>198</v>
      </c>
      <c r="C163" s="200"/>
      <c r="D163" s="68"/>
      <c r="E163" s="68"/>
      <c r="F163" s="141"/>
      <c r="G163" s="68"/>
      <c r="H163" s="68"/>
      <c r="I163" s="68"/>
      <c r="J163" s="142"/>
      <c r="K163" s="142"/>
      <c r="L163" s="68"/>
      <c r="M163" s="68"/>
      <c r="N163" s="68"/>
    </row>
    <row r="164" spans="1:14" ht="12.75" customHeight="1" x14ac:dyDescent="0.2">
      <c r="A164" s="74" t="s">
        <v>44</v>
      </c>
      <c r="B164" s="195" t="s">
        <v>130</v>
      </c>
      <c r="C164" s="196"/>
      <c r="D164" s="57"/>
      <c r="E164" s="57"/>
      <c r="F164" s="143"/>
      <c r="G164" s="57"/>
      <c r="H164" s="57"/>
      <c r="I164" s="57"/>
      <c r="J164" s="144"/>
      <c r="K164" s="144"/>
      <c r="L164" s="57"/>
      <c r="M164" s="57"/>
      <c r="N164" s="57"/>
    </row>
    <row r="165" spans="1:14" ht="11.25" customHeight="1" x14ac:dyDescent="0.2">
      <c r="A165" s="75" t="s">
        <v>45</v>
      </c>
      <c r="B165" s="195" t="s">
        <v>194</v>
      </c>
      <c r="C165" s="196"/>
      <c r="D165" s="69"/>
      <c r="E165" s="69"/>
      <c r="F165" s="145"/>
      <c r="G165" s="69"/>
      <c r="H165" s="69"/>
      <c r="I165" s="69"/>
      <c r="J165" s="69"/>
      <c r="K165" s="69"/>
      <c r="L165" s="69"/>
      <c r="M165" s="69"/>
      <c r="N165" s="69"/>
    </row>
    <row r="166" spans="1:14" ht="33.75" x14ac:dyDescent="0.2">
      <c r="A166" s="146"/>
      <c r="B166" s="147">
        <v>1</v>
      </c>
      <c r="C166" s="56" t="s">
        <v>199</v>
      </c>
      <c r="D166" s="133"/>
      <c r="E166" s="58" t="s">
        <v>196</v>
      </c>
      <c r="F166" s="148"/>
      <c r="G166" s="149"/>
      <c r="H166" s="150"/>
      <c r="I166" s="151"/>
      <c r="J166" s="133"/>
      <c r="K166" s="133"/>
      <c r="L166" s="152"/>
      <c r="M166" s="153"/>
      <c r="N166" s="154"/>
    </row>
    <row r="167" spans="1:14" ht="13.5" thickBot="1" x14ac:dyDescent="0.25">
      <c r="A167" s="155" t="s">
        <v>200</v>
      </c>
      <c r="B167" s="156"/>
      <c r="C167" s="156"/>
      <c r="D167" s="157"/>
      <c r="E167" s="158"/>
      <c r="F167" s="159"/>
      <c r="G167" s="160"/>
      <c r="H167" s="161"/>
      <c r="I167" s="162"/>
      <c r="J167" s="163"/>
      <c r="K167" s="163"/>
      <c r="L167" s="164"/>
      <c r="M167" s="165"/>
      <c r="N167" s="166"/>
    </row>
    <row r="168" spans="1:14" ht="13.5" thickBot="1" x14ac:dyDescent="0.25">
      <c r="A168" s="72" t="s">
        <v>39</v>
      </c>
      <c r="B168" s="197" t="s">
        <v>201</v>
      </c>
      <c r="C168" s="198"/>
      <c r="D168" s="65"/>
      <c r="E168" s="66"/>
      <c r="F168" s="137"/>
      <c r="G168" s="66" t="s">
        <v>18</v>
      </c>
      <c r="H168" s="138" t="s">
        <v>128</v>
      </c>
      <c r="I168" s="66"/>
      <c r="J168" s="139"/>
      <c r="K168" s="139"/>
      <c r="L168" s="66"/>
      <c r="M168" s="140"/>
      <c r="N168" s="66"/>
    </row>
    <row r="169" spans="1:14" ht="12.75" x14ac:dyDescent="0.2">
      <c r="A169" s="73" t="s">
        <v>42</v>
      </c>
      <c r="B169" s="199" t="s">
        <v>202</v>
      </c>
      <c r="C169" s="200"/>
      <c r="D169" s="68"/>
      <c r="E169" s="68"/>
      <c r="F169" s="141"/>
      <c r="G169" s="68"/>
      <c r="H169" s="68"/>
      <c r="I169" s="68"/>
      <c r="J169" s="142"/>
      <c r="K169" s="142"/>
      <c r="L169" s="68"/>
      <c r="M169" s="68"/>
      <c r="N169" s="68"/>
    </row>
    <row r="170" spans="1:14" ht="12.75" x14ac:dyDescent="0.2">
      <c r="A170" s="74" t="s">
        <v>44</v>
      </c>
      <c r="B170" s="195"/>
      <c r="C170" s="196"/>
      <c r="D170" s="57"/>
      <c r="E170" s="57"/>
      <c r="F170" s="143"/>
      <c r="G170" s="57"/>
      <c r="H170" s="57"/>
      <c r="I170" s="57"/>
      <c r="J170" s="144"/>
      <c r="K170" s="144"/>
      <c r="L170" s="57"/>
      <c r="M170" s="57"/>
      <c r="N170" s="57"/>
    </row>
    <row r="171" spans="1:14" ht="12.75" customHeight="1" x14ac:dyDescent="0.2">
      <c r="A171" s="75" t="s">
        <v>45</v>
      </c>
      <c r="B171" s="195" t="s">
        <v>203</v>
      </c>
      <c r="C171" s="196"/>
      <c r="D171" s="69"/>
      <c r="E171" s="69"/>
      <c r="F171" s="145"/>
      <c r="G171" s="69"/>
      <c r="H171" s="69"/>
      <c r="I171" s="69"/>
      <c r="J171" s="69"/>
      <c r="K171" s="69"/>
      <c r="L171" s="69"/>
      <c r="M171" s="69"/>
      <c r="N171" s="69"/>
    </row>
    <row r="172" spans="1:14" ht="12.75" x14ac:dyDescent="0.2">
      <c r="A172" s="179"/>
      <c r="B172" s="147">
        <v>1</v>
      </c>
      <c r="C172" s="56" t="s">
        <v>204</v>
      </c>
      <c r="D172" s="133"/>
      <c r="E172" s="58" t="s">
        <v>205</v>
      </c>
      <c r="F172" s="148"/>
      <c r="G172" s="149"/>
      <c r="H172" s="150"/>
      <c r="I172" s="151"/>
      <c r="J172" s="133"/>
      <c r="K172" s="133"/>
      <c r="L172" s="152"/>
      <c r="M172" s="153"/>
      <c r="N172" s="154"/>
    </row>
    <row r="173" spans="1:14" ht="65.25" customHeight="1" x14ac:dyDescent="0.2">
      <c r="A173" s="179"/>
      <c r="B173" s="147">
        <v>2</v>
      </c>
      <c r="C173" s="56" t="s">
        <v>206</v>
      </c>
      <c r="D173" s="133"/>
      <c r="E173" s="58" t="s">
        <v>207</v>
      </c>
      <c r="F173" s="148" t="s">
        <v>292</v>
      </c>
      <c r="G173" s="149"/>
      <c r="H173" s="150"/>
      <c r="I173" s="151"/>
      <c r="J173" s="133"/>
      <c r="K173" s="133"/>
      <c r="L173" s="152"/>
      <c r="M173" s="153"/>
      <c r="N173" s="154"/>
    </row>
    <row r="174" spans="1:14" ht="53.25" customHeight="1" x14ac:dyDescent="0.2">
      <c r="A174" s="179"/>
      <c r="B174" s="147">
        <v>3</v>
      </c>
      <c r="C174" s="56" t="s">
        <v>208</v>
      </c>
      <c r="D174" s="133"/>
      <c r="E174" s="58" t="s">
        <v>209</v>
      </c>
      <c r="F174" s="168"/>
      <c r="G174" s="169"/>
      <c r="H174" s="170"/>
      <c r="I174" s="171"/>
      <c r="J174" s="172"/>
      <c r="K174" s="172"/>
      <c r="L174" s="173"/>
      <c r="M174" s="174"/>
      <c r="N174" s="175"/>
    </row>
    <row r="175" spans="1:14" ht="12.75" customHeight="1" thickBot="1" x14ac:dyDescent="0.25">
      <c r="A175" s="176" t="s">
        <v>39</v>
      </c>
      <c r="B175" s="211" t="s">
        <v>210</v>
      </c>
      <c r="C175" s="212"/>
      <c r="D175" s="177"/>
      <c r="E175" s="178"/>
      <c r="F175" s="137"/>
      <c r="G175" s="66" t="s">
        <v>20</v>
      </c>
      <c r="H175" s="138" t="s">
        <v>128</v>
      </c>
      <c r="I175" s="66"/>
      <c r="J175" s="139"/>
      <c r="K175" s="139"/>
      <c r="L175" s="66"/>
      <c r="M175" s="140"/>
      <c r="N175" s="66"/>
    </row>
    <row r="176" spans="1:14" ht="12.75" x14ac:dyDescent="0.2">
      <c r="A176" s="73" t="s">
        <v>42</v>
      </c>
      <c r="B176" s="199" t="s">
        <v>211</v>
      </c>
      <c r="C176" s="200"/>
      <c r="D176" s="68"/>
      <c r="E176" s="68"/>
      <c r="F176" s="141"/>
      <c r="G176" s="69"/>
      <c r="H176" s="68"/>
      <c r="I176" s="68"/>
      <c r="J176" s="142"/>
      <c r="K176" s="142"/>
      <c r="L176" s="68"/>
      <c r="M176" s="68"/>
      <c r="N176" s="68"/>
    </row>
    <row r="177" spans="1:14" ht="11.25" customHeight="1" x14ac:dyDescent="0.2">
      <c r="A177" s="74" t="s">
        <v>44</v>
      </c>
      <c r="B177" s="195"/>
      <c r="C177" s="196"/>
      <c r="D177" s="57"/>
      <c r="E177" s="57"/>
      <c r="F177" s="143"/>
      <c r="G177" s="57"/>
      <c r="H177" s="57"/>
      <c r="I177" s="57"/>
      <c r="J177" s="144"/>
      <c r="K177" s="144"/>
      <c r="L177" s="57"/>
      <c r="M177" s="57"/>
      <c r="N177" s="57"/>
    </row>
    <row r="178" spans="1:14" ht="12.75" x14ac:dyDescent="0.2">
      <c r="A178" s="75" t="s">
        <v>45</v>
      </c>
      <c r="B178" s="195" t="s">
        <v>212</v>
      </c>
      <c r="C178" s="196"/>
      <c r="D178" s="69"/>
      <c r="E178" s="69"/>
      <c r="F178" s="145"/>
      <c r="G178" s="69"/>
      <c r="H178" s="69"/>
      <c r="I178" s="69"/>
      <c r="J178" s="69"/>
      <c r="K178" s="69"/>
      <c r="L178" s="69"/>
      <c r="M178" s="69"/>
      <c r="N178" s="69"/>
    </row>
    <row r="179" spans="1:14" ht="12.75" customHeight="1" x14ac:dyDescent="0.2">
      <c r="A179" s="209"/>
      <c r="B179" s="56">
        <v>1</v>
      </c>
      <c r="C179" s="56" t="s">
        <v>213</v>
      </c>
      <c r="D179" s="58"/>
      <c r="E179" s="58" t="s">
        <v>214</v>
      </c>
      <c r="F179" s="59"/>
      <c r="G179" s="89"/>
      <c r="H179" s="60"/>
      <c r="I179" s="132"/>
      <c r="J179" s="133"/>
      <c r="K179" s="133"/>
      <c r="L179" s="152"/>
      <c r="M179" s="153"/>
      <c r="N179" s="167"/>
    </row>
    <row r="180" spans="1:14" ht="56.25" x14ac:dyDescent="0.2">
      <c r="A180" s="210"/>
      <c r="B180" s="56">
        <v>2</v>
      </c>
      <c r="C180" s="56" t="s">
        <v>215</v>
      </c>
      <c r="D180" s="58"/>
      <c r="E180" s="58" t="s">
        <v>216</v>
      </c>
      <c r="F180" s="59" t="s">
        <v>291</v>
      </c>
      <c r="G180" s="89"/>
      <c r="H180" s="60"/>
      <c r="I180" s="132"/>
      <c r="J180" s="133"/>
      <c r="K180" s="133"/>
      <c r="L180" s="152"/>
      <c r="M180" s="153"/>
      <c r="N180" s="167"/>
    </row>
    <row r="181" spans="1:14" ht="33.75" x14ac:dyDescent="0.2">
      <c r="A181" s="90"/>
      <c r="B181" s="70">
        <v>3</v>
      </c>
      <c r="C181" s="56" t="s">
        <v>217</v>
      </c>
      <c r="D181" s="71"/>
      <c r="E181" s="58" t="s">
        <v>209</v>
      </c>
      <c r="F181" s="59"/>
      <c r="G181" s="89"/>
      <c r="H181" s="60"/>
      <c r="I181" s="132"/>
      <c r="J181" s="133"/>
      <c r="K181" s="133"/>
      <c r="L181" s="152"/>
      <c r="M181" s="153"/>
      <c r="N181" s="167"/>
    </row>
  </sheetData>
  <customSheetViews>
    <customSheetView guid="{1C92A2C2-FD48-4928-AED5-9BEA6C9145FD}" scale="60" showGridLines="0" fitToPage="1">
      <pane xSplit="3" ySplit="3" topLeftCell="N4" activePane="bottomRight" state="frozenSplit"/>
      <selection pane="bottomRight" activeCell="A4" sqref="A4:AA4"/>
      <pageMargins left="0" right="0" top="0" bottom="0" header="0" footer="0"/>
      <pageSetup paperSize="8" scale="30" orientation="portrait" r:id="rId1"/>
      <headerFooter alignWithMargins="0"/>
    </customSheetView>
    <customSheetView guid="{CD937A6C-313E-4825-9940-C75FA8D50104}" scale="75" showGridLines="0" fitToPage="1" filter="1" showAutoFilter="1" showRuler="0">
      <pane xSplit="3" ySplit="381" topLeftCell="F383" activePane="bottomRight" state="frozenSplit"/>
      <selection pane="bottomRight" activeCell="G1" sqref="G1:G2"/>
      <pageMargins left="0" right="0" top="0" bottom="0" header="0" footer="0"/>
      <pageSetup paperSize="8" scale="30" orientation="portrait" r:id="rId2"/>
      <headerFooter alignWithMargins="0"/>
      <autoFilter ref="B1:AB1" xr:uid="{ABDAADF8-12E8-4E62-9000-2AECFA9C79C9}">
        <filterColumn colId="5">
          <filters>
            <filter val="NOT STARTED"/>
          </filters>
        </filterColumn>
        <filterColumn colId="7">
          <filters>
            <filter val="IT-1"/>
          </filters>
        </filterColumn>
      </autoFilter>
    </customSheetView>
    <customSheetView guid="{FF154EE2-AC2D-430A-9754-0D28C9DDDBFB}" scale="75" showGridLines="0" fitToPage="1">
      <pane xSplit="3" ySplit="381" topLeftCell="D383" activePane="bottomRight" state="frozenSplit"/>
      <selection pane="bottomRight" activeCell="C10" sqref="C10:C11"/>
      <pageMargins left="0" right="0" top="0" bottom="0" header="0" footer="0"/>
      <pageSetup paperSize="8" scale="17" orientation="portrait" r:id="rId3"/>
      <headerFooter alignWithMargins="0"/>
    </customSheetView>
    <customSheetView guid="{87E9DF29-B3B5-49D6-A9F9-D4136AD726FA}" showGridLines="0" fitToPage="1" showRuler="0">
      <pane xSplit="3" ySplit="380" topLeftCell="D383" activePane="bottomRight" state="frozenSplit"/>
      <selection pane="bottomRight" activeCell="D17" sqref="D17"/>
      <pageMargins left="0" right="0" top="0" bottom="0" header="0" footer="0"/>
      <pageSetup paperSize="8" scale="30" orientation="portrait" r:id="rId4"/>
      <headerFooter alignWithMargins="0"/>
    </customSheetView>
    <customSheetView guid="{2817BE2F-7DEF-4D72-A351-413E65CABEE2}" showGridLines="0" fitToPage="1">
      <pane xSplit="3" ySplit="3" topLeftCell="D131" activePane="bottomRight" state="frozenSplit"/>
      <selection pane="bottomRight" activeCell="A141" sqref="A141:AA141"/>
      <pageMargins left="0" right="0" top="0" bottom="0" header="0" footer="0"/>
      <pageSetup paperSize="8" scale="30" orientation="portrait" r:id="rId5"/>
      <headerFooter alignWithMargins="0"/>
    </customSheetView>
    <customSheetView guid="{C2290E76-3893-41D8-A4D2-83F52E2B89D5}" scale="75" showGridLines="0" fitToPage="1" showRuler="0">
      <selection activeCell="C346" sqref="C346"/>
      <pageMargins left="0" right="0" top="0" bottom="0" header="0" footer="0"/>
      <pageSetup paperSize="8" scale="30" orientation="portrait" r:id="rId6"/>
      <headerFooter alignWithMargins="0"/>
    </customSheetView>
    <customSheetView guid="{98F85CEF-0B27-46E0-83EC-AF3A91A8F625}" scale="75" showGridLines="0" fitToPage="1" filter="1" showAutoFilter="1" showRuler="0">
      <selection activeCell="F6" sqref="F6"/>
      <pageMargins left="0" right="0" top="0" bottom="0" header="0" footer="0"/>
      <pageSetup paperSize="8" scale="30" orientation="portrait" r:id="rId7"/>
      <headerFooter alignWithMargins="0"/>
      <autoFilter ref="B1:AB1" xr:uid="{BFE94EDA-7A84-4705-8652-97FCAA49A046}">
        <filterColumn colId="5">
          <filters>
            <filter val="OK"/>
          </filters>
        </filterColumn>
      </autoFilter>
    </customSheetView>
  </customSheetViews>
  <mergeCells count="141">
    <mergeCell ref="B73:C73"/>
    <mergeCell ref="B74:C74"/>
    <mergeCell ref="B117:C117"/>
    <mergeCell ref="B118:C118"/>
    <mergeCell ref="B119:C119"/>
    <mergeCell ref="B129:C129"/>
    <mergeCell ref="B130:C130"/>
    <mergeCell ref="B137:C137"/>
    <mergeCell ref="B138:C138"/>
    <mergeCell ref="B125:C125"/>
    <mergeCell ref="B127:C127"/>
    <mergeCell ref="B128:C128"/>
    <mergeCell ref="B122:C122"/>
    <mergeCell ref="B110:C110"/>
    <mergeCell ref="B111:C111"/>
    <mergeCell ref="B79:C79"/>
    <mergeCell ref="B80:C80"/>
    <mergeCell ref="B104:C104"/>
    <mergeCell ref="B105:C105"/>
    <mergeCell ref="B109:C109"/>
    <mergeCell ref="B103:C103"/>
    <mergeCell ref="B95:C95"/>
    <mergeCell ref="B96:C96"/>
    <mergeCell ref="B97:C97"/>
    <mergeCell ref="B55:C55"/>
    <mergeCell ref="B56:C56"/>
    <mergeCell ref="B43:C43"/>
    <mergeCell ref="B65:C65"/>
    <mergeCell ref="B66:C66"/>
    <mergeCell ref="B67:C67"/>
    <mergeCell ref="B68:C68"/>
    <mergeCell ref="B71:C71"/>
    <mergeCell ref="B72:C72"/>
    <mergeCell ref="B62:C62"/>
    <mergeCell ref="B59:C59"/>
    <mergeCell ref="B60:C60"/>
    <mergeCell ref="B61:C61"/>
    <mergeCell ref="B32:C32"/>
    <mergeCell ref="B33:C33"/>
    <mergeCell ref="B34:C34"/>
    <mergeCell ref="B35:C35"/>
    <mergeCell ref="A36:A41"/>
    <mergeCell ref="B42:C42"/>
    <mergeCell ref="A46:A51"/>
    <mergeCell ref="B53:C53"/>
    <mergeCell ref="B54:C54"/>
    <mergeCell ref="B44:C44"/>
    <mergeCell ref="B45:C45"/>
    <mergeCell ref="B159:C159"/>
    <mergeCell ref="B160:C160"/>
    <mergeCell ref="B112:C112"/>
    <mergeCell ref="B147:C147"/>
    <mergeCell ref="B148:C148"/>
    <mergeCell ref="B149:C149"/>
    <mergeCell ref="B150:C150"/>
    <mergeCell ref="B152:C152"/>
    <mergeCell ref="B153:C153"/>
    <mergeCell ref="B154:C154"/>
    <mergeCell ref="B123:C123"/>
    <mergeCell ref="B124:C124"/>
    <mergeCell ref="B139:C139"/>
    <mergeCell ref="B140:C140"/>
    <mergeCell ref="B116:C116"/>
    <mergeCell ref="A23:A24"/>
    <mergeCell ref="A30:A31"/>
    <mergeCell ref="D1:D2"/>
    <mergeCell ref="A10:A12"/>
    <mergeCell ref="B6:C6"/>
    <mergeCell ref="B7:C7"/>
    <mergeCell ref="B8:C8"/>
    <mergeCell ref="B9:C9"/>
    <mergeCell ref="B14:C14"/>
    <mergeCell ref="B15:C15"/>
    <mergeCell ref="A1:A2"/>
    <mergeCell ref="B21:C21"/>
    <mergeCell ref="B22:C22"/>
    <mergeCell ref="B29:C29"/>
    <mergeCell ref="B28:C28"/>
    <mergeCell ref="B27:C27"/>
    <mergeCell ref="M3:M4"/>
    <mergeCell ref="N3:N4"/>
    <mergeCell ref="A3:A4"/>
    <mergeCell ref="B3:B4"/>
    <mergeCell ref="C3:C4"/>
    <mergeCell ref="D3:D4"/>
    <mergeCell ref="E3:E4"/>
    <mergeCell ref="F3:F4"/>
    <mergeCell ref="G3:G4"/>
    <mergeCell ref="H3:H4"/>
    <mergeCell ref="I3:I4"/>
    <mergeCell ref="L3:L4"/>
    <mergeCell ref="A179:A180"/>
    <mergeCell ref="B132:C132"/>
    <mergeCell ref="B133:C133"/>
    <mergeCell ref="B134:C134"/>
    <mergeCell ref="B135:C135"/>
    <mergeCell ref="B145:C145"/>
    <mergeCell ref="B144:C144"/>
    <mergeCell ref="B143:C143"/>
    <mergeCell ref="B169:C169"/>
    <mergeCell ref="B142:C142"/>
    <mergeCell ref="B178:C178"/>
    <mergeCell ref="B170:C170"/>
    <mergeCell ref="B176:C176"/>
    <mergeCell ref="B177:C177"/>
    <mergeCell ref="B168:C168"/>
    <mergeCell ref="B171:C171"/>
    <mergeCell ref="B175:C175"/>
    <mergeCell ref="B162:C162"/>
    <mergeCell ref="B163:C163"/>
    <mergeCell ref="B164:C164"/>
    <mergeCell ref="B165:C165"/>
    <mergeCell ref="B155:C155"/>
    <mergeCell ref="B157:C157"/>
    <mergeCell ref="B158:C158"/>
    <mergeCell ref="H1:H2"/>
    <mergeCell ref="K1:K2"/>
    <mergeCell ref="J1:J2"/>
    <mergeCell ref="I1:I2"/>
    <mergeCell ref="B26:C26"/>
    <mergeCell ref="B1:B2"/>
    <mergeCell ref="J3:J4"/>
    <mergeCell ref="K3:K4"/>
    <mergeCell ref="F1:F2"/>
    <mergeCell ref="C1:C2"/>
    <mergeCell ref="G1:G2"/>
    <mergeCell ref="E1:E2"/>
    <mergeCell ref="B16:C16"/>
    <mergeCell ref="B20:C20"/>
    <mergeCell ref="B98:C98"/>
    <mergeCell ref="B102:C102"/>
    <mergeCell ref="B92:C92"/>
    <mergeCell ref="B78:C78"/>
    <mergeCell ref="B77:C77"/>
    <mergeCell ref="B84:C84"/>
    <mergeCell ref="B85:C85"/>
    <mergeCell ref="B86:C86"/>
    <mergeCell ref="B87:C87"/>
    <mergeCell ref="B89:C89"/>
    <mergeCell ref="B90:C90"/>
    <mergeCell ref="B91:C91"/>
  </mergeCells>
  <phoneticPr fontId="2" type="noConversion"/>
  <conditionalFormatting sqref="F10:G12 F13 F14:G18 F19 F20:G24 F36:G39 F53 F54:G58 F59 F60:G64 F65 F66:G70 F71 F72:G76 F77 F78:G83 F84 F85:G88 F89 F90:G94 F95 F96:G101 F102 F103:G108 F109 F110:G115 F116 F117:G121 F122 F123:G126 F127 F128:G131 F132 F133:G136 F137 F138:G141 F142 F143:G146 F147 F148:G151 F152 F153:G156 F157 F158:G161 F162 F163:G167 F168 F169:G178">
    <cfRule type="cellIs" dxfId="8" priority="9" stopIfTrue="1" operator="equal">
      <formula>"KO"</formula>
    </cfRule>
  </conditionalFormatting>
  <conditionalFormatting sqref="F30:G31 F179:F181">
    <cfRule type="cellIs" dxfId="7" priority="16" stopIfTrue="1" operator="equal">
      <formula>"KO"</formula>
    </cfRule>
  </conditionalFormatting>
  <conditionalFormatting sqref="F41:G41 F51:G52">
    <cfRule type="cellIs" dxfId="6" priority="5" stopIfTrue="1" operator="equal">
      <formula>"KO"</formula>
    </cfRule>
  </conditionalFormatting>
  <conditionalFormatting sqref="F46:G49">
    <cfRule type="cellIs" dxfId="5" priority="3" stopIfTrue="1" operator="equal">
      <formula>"KO"</formula>
    </cfRule>
  </conditionalFormatting>
  <pageMargins left="0.75" right="0.75" top="0" bottom="0" header="0" footer="0"/>
  <pageSetup paperSize="8" scale="34" orientation="portrait" r:id="rId8"/>
  <headerFooter alignWithMargins="0">
    <oddHeader>&amp;L&amp;"Calibri"&amp;11&amp;K317100This message/document has been classified as “Public”&amp;1#</oddHeader>
  </headerFooter>
  <legacy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E156"/>
  <sheetViews>
    <sheetView topLeftCell="D1" zoomScale="85" zoomScaleNormal="85" workbookViewId="0">
      <selection activeCell="D36" sqref="D36"/>
    </sheetView>
  </sheetViews>
  <sheetFormatPr defaultColWidth="9.140625" defaultRowHeight="11.25" x14ac:dyDescent="0.2"/>
  <cols>
    <col min="1" max="1" width="12.85546875" style="104" customWidth="1"/>
    <col min="2" max="2" width="23.42578125" style="87" bestFit="1" customWidth="1"/>
    <col min="3" max="3" width="18.5703125" style="87" bestFit="1" customWidth="1"/>
    <col min="4" max="4" width="63.5703125" style="98" customWidth="1"/>
    <col min="5" max="5" width="11" style="94" customWidth="1"/>
    <col min="6" max="6" width="20.5703125" style="94" bestFit="1" customWidth="1"/>
    <col min="7" max="7" width="24.85546875" style="87" customWidth="1"/>
    <col min="8" max="8" width="21.85546875" style="98" customWidth="1"/>
    <col min="9" max="9" width="20" style="87" customWidth="1"/>
    <col min="10" max="10" width="18.7109375" style="99" customWidth="1"/>
    <col min="11" max="11" width="13.28515625" style="100" customWidth="1"/>
    <col min="12" max="13" width="16.7109375" style="11" customWidth="1"/>
    <col min="14" max="14" width="3.42578125" style="1" customWidth="1"/>
    <col min="15" max="15" width="3.7109375" style="1" customWidth="1"/>
    <col min="16" max="16384" width="9.140625" style="1"/>
  </cols>
  <sheetData>
    <row r="1" spans="1:31" s="9" customFormat="1" ht="33.75" x14ac:dyDescent="0.2">
      <c r="A1" s="101" t="s">
        <v>218</v>
      </c>
      <c r="B1" s="8" t="s">
        <v>219</v>
      </c>
      <c r="C1" s="8" t="s">
        <v>220</v>
      </c>
      <c r="D1" s="7" t="s">
        <v>221</v>
      </c>
      <c r="E1" s="7" t="s">
        <v>222</v>
      </c>
      <c r="F1" s="7" t="s">
        <v>10</v>
      </c>
      <c r="G1" s="7" t="s">
        <v>223</v>
      </c>
      <c r="H1" s="7" t="s">
        <v>224</v>
      </c>
      <c r="I1" s="8" t="s">
        <v>225</v>
      </c>
      <c r="J1" s="88" t="s">
        <v>226</v>
      </c>
      <c r="K1" s="8" t="s">
        <v>227</v>
      </c>
      <c r="L1" s="10" t="s">
        <v>228</v>
      </c>
      <c r="M1" s="10" t="s">
        <v>21</v>
      </c>
      <c r="N1" s="106"/>
      <c r="O1" s="106"/>
      <c r="P1" s="106"/>
      <c r="Q1" s="106"/>
      <c r="R1" s="106"/>
      <c r="S1" s="106"/>
      <c r="T1" s="106"/>
      <c r="U1" s="106"/>
      <c r="V1" s="106"/>
      <c r="W1" s="106"/>
      <c r="X1" s="106"/>
      <c r="Y1" s="106"/>
      <c r="Z1" s="106"/>
      <c r="AA1" s="106"/>
      <c r="AB1" s="106"/>
      <c r="AC1" s="106"/>
      <c r="AD1" s="106"/>
      <c r="AE1" s="106"/>
    </row>
    <row r="2" spans="1:31" ht="135" x14ac:dyDescent="0.2">
      <c r="A2" s="102">
        <v>1</v>
      </c>
      <c r="B2" s="86" t="s">
        <v>77</v>
      </c>
      <c r="C2" s="86"/>
      <c r="D2" s="95" t="s">
        <v>271</v>
      </c>
      <c r="E2" s="93" t="s">
        <v>240</v>
      </c>
      <c r="F2" s="93" t="s">
        <v>17</v>
      </c>
      <c r="G2" s="86"/>
      <c r="H2" s="95"/>
      <c r="I2" s="86"/>
      <c r="J2" s="97" t="s">
        <v>270</v>
      </c>
      <c r="K2" s="96"/>
      <c r="L2" s="49" t="s">
        <v>12</v>
      </c>
      <c r="M2" s="105"/>
      <c r="N2" s="185"/>
      <c r="O2" s="185"/>
      <c r="P2" s="185"/>
      <c r="Q2" s="185"/>
      <c r="R2" s="185"/>
      <c r="S2" s="185"/>
      <c r="T2" s="185"/>
      <c r="U2" s="185"/>
      <c r="V2" s="185"/>
      <c r="W2" s="185"/>
      <c r="X2" s="185"/>
      <c r="Y2" s="185"/>
      <c r="Z2" s="185"/>
      <c r="AA2" s="185"/>
      <c r="AB2" s="185"/>
      <c r="AC2" s="185"/>
      <c r="AD2" s="185"/>
      <c r="AE2" s="185"/>
    </row>
    <row r="3" spans="1:31" ht="56.25" x14ac:dyDescent="0.2">
      <c r="A3" s="102">
        <v>2</v>
      </c>
      <c r="B3" s="86" t="s">
        <v>90</v>
      </c>
      <c r="C3" s="86"/>
      <c r="D3" s="95" t="s">
        <v>279</v>
      </c>
      <c r="E3" s="93" t="s">
        <v>240</v>
      </c>
      <c r="F3" s="93" t="s">
        <v>17</v>
      </c>
      <c r="G3" s="86"/>
      <c r="H3" s="95"/>
      <c r="I3" s="86"/>
      <c r="J3" s="97" t="s">
        <v>280</v>
      </c>
      <c r="K3" s="96"/>
      <c r="L3" s="49" t="s">
        <v>12</v>
      </c>
      <c r="M3" s="105"/>
      <c r="N3" s="185"/>
      <c r="O3" s="185"/>
      <c r="P3" s="185"/>
      <c r="Q3" s="185"/>
      <c r="R3" s="185"/>
      <c r="S3" s="185"/>
      <c r="T3" s="185"/>
      <c r="U3" s="185"/>
      <c r="V3" s="185"/>
      <c r="W3" s="185"/>
      <c r="X3" s="185"/>
      <c r="Y3" s="185"/>
      <c r="Z3" s="185"/>
      <c r="AA3" s="185"/>
      <c r="AB3" s="185"/>
      <c r="AC3" s="185"/>
      <c r="AD3" s="185"/>
      <c r="AE3" s="185"/>
    </row>
    <row r="4" spans="1:31" ht="12.75" x14ac:dyDescent="0.2">
      <c r="A4" s="102"/>
      <c r="B4" s="86"/>
      <c r="C4" s="86"/>
      <c r="D4" s="95"/>
      <c r="E4" s="93"/>
      <c r="F4" s="93"/>
      <c r="G4" s="86"/>
      <c r="H4" s="95"/>
      <c r="I4" s="86"/>
      <c r="J4" s="97"/>
      <c r="K4" s="96"/>
      <c r="L4" s="49"/>
      <c r="M4" s="105"/>
      <c r="N4" s="185"/>
      <c r="O4" s="185"/>
      <c r="P4" s="185"/>
      <c r="Q4" s="185"/>
      <c r="R4" s="185"/>
      <c r="S4" s="185"/>
      <c r="T4" s="185"/>
      <c r="U4" s="185"/>
      <c r="V4" s="185"/>
      <c r="W4" s="185"/>
      <c r="X4" s="185"/>
      <c r="Y4" s="185"/>
      <c r="Z4" s="185"/>
      <c r="AA4" s="185"/>
      <c r="AB4" s="185"/>
      <c r="AC4" s="185"/>
      <c r="AD4" s="185"/>
      <c r="AE4" s="185"/>
    </row>
    <row r="5" spans="1:31" ht="12.75" x14ac:dyDescent="0.2">
      <c r="A5" s="102"/>
      <c r="B5" s="86"/>
      <c r="C5" s="86"/>
      <c r="D5" s="95"/>
      <c r="E5" s="93"/>
      <c r="F5" s="93"/>
      <c r="G5" s="86"/>
      <c r="H5" s="95"/>
      <c r="I5" s="86"/>
      <c r="J5" s="97"/>
      <c r="K5" s="96"/>
      <c r="L5" s="49"/>
      <c r="M5" s="105"/>
      <c r="N5" s="185"/>
      <c r="O5" s="185"/>
      <c r="P5" s="185"/>
      <c r="Q5" s="185"/>
      <c r="R5" s="185"/>
      <c r="S5" s="185"/>
      <c r="T5" s="185"/>
      <c r="U5" s="185"/>
      <c r="V5" s="185"/>
      <c r="W5" s="185"/>
      <c r="X5" s="185"/>
      <c r="Y5" s="185"/>
      <c r="Z5" s="185"/>
      <c r="AA5" s="185"/>
      <c r="AB5" s="185"/>
      <c r="AC5" s="185"/>
      <c r="AD5" s="185"/>
      <c r="AE5" s="185"/>
    </row>
    <row r="6" spans="1:31" ht="12.75" x14ac:dyDescent="0.2">
      <c r="A6" s="102"/>
      <c r="B6" s="86"/>
      <c r="C6" s="86"/>
      <c r="D6" s="95"/>
      <c r="E6" s="93"/>
      <c r="F6" s="93"/>
      <c r="G6" s="86"/>
      <c r="H6" s="95"/>
      <c r="I6" s="86"/>
      <c r="J6" s="97"/>
      <c r="K6" s="96"/>
      <c r="L6" s="49"/>
      <c r="M6" s="105"/>
      <c r="N6" s="185"/>
      <c r="O6" s="185"/>
      <c r="P6" s="185"/>
      <c r="Q6" s="185"/>
      <c r="R6" s="185"/>
      <c r="S6" s="185"/>
      <c r="T6" s="185"/>
      <c r="U6" s="185"/>
      <c r="V6" s="185"/>
      <c r="W6" s="185"/>
      <c r="X6" s="185"/>
      <c r="Y6" s="185"/>
      <c r="Z6" s="185"/>
      <c r="AA6" s="185"/>
      <c r="AB6" s="185"/>
      <c r="AC6" s="185"/>
      <c r="AD6" s="185"/>
      <c r="AE6" s="185"/>
    </row>
    <row r="7" spans="1:31" ht="12.75" x14ac:dyDescent="0.2">
      <c r="A7" s="102"/>
      <c r="B7" s="86"/>
      <c r="C7" s="86"/>
      <c r="D7" s="95"/>
      <c r="E7" s="93"/>
      <c r="F7" s="93"/>
      <c r="G7" s="86"/>
      <c r="H7" s="95"/>
      <c r="I7" s="86"/>
      <c r="J7" s="97"/>
      <c r="K7" s="96"/>
      <c r="L7" s="49"/>
      <c r="M7" s="105"/>
      <c r="N7" s="185"/>
      <c r="O7" s="185"/>
      <c r="P7" s="185"/>
      <c r="Q7" s="185"/>
      <c r="R7" s="185"/>
      <c r="S7" s="185"/>
      <c r="T7" s="185"/>
      <c r="U7" s="185"/>
      <c r="V7" s="185"/>
      <c r="W7" s="185"/>
      <c r="X7" s="185"/>
      <c r="Y7" s="185"/>
      <c r="Z7" s="185"/>
      <c r="AA7" s="185"/>
      <c r="AB7" s="185"/>
      <c r="AC7" s="185"/>
      <c r="AD7" s="185"/>
      <c r="AE7" s="185"/>
    </row>
    <row r="8" spans="1:31" ht="12.75" x14ac:dyDescent="0.2">
      <c r="A8" s="102"/>
      <c r="B8" s="86"/>
      <c r="C8" s="86"/>
      <c r="D8" s="95"/>
      <c r="E8" s="93"/>
      <c r="F8" s="93"/>
      <c r="G8" s="86"/>
      <c r="H8" s="95"/>
      <c r="I8" s="86"/>
      <c r="J8" s="97"/>
      <c r="K8" s="96"/>
      <c r="L8" s="49"/>
      <c r="M8" s="105"/>
      <c r="N8" s="185"/>
      <c r="O8" s="185"/>
      <c r="P8" s="185"/>
      <c r="Q8" s="185"/>
      <c r="R8" s="185"/>
      <c r="S8" s="185"/>
      <c r="T8" s="185"/>
      <c r="U8" s="185"/>
      <c r="V8" s="185"/>
      <c r="W8" s="185"/>
      <c r="X8" s="185"/>
      <c r="Y8" s="185"/>
      <c r="Z8" s="185"/>
      <c r="AA8" s="185"/>
      <c r="AB8" s="185"/>
      <c r="AC8" s="185"/>
      <c r="AD8" s="185"/>
      <c r="AE8" s="185"/>
    </row>
    <row r="9" spans="1:31" ht="12.75" x14ac:dyDescent="0.2">
      <c r="A9" s="102"/>
      <c r="B9" s="86"/>
      <c r="C9" s="86"/>
      <c r="D9" s="95"/>
      <c r="E9" s="93"/>
      <c r="F9" s="93"/>
      <c r="G9" s="86"/>
      <c r="H9" s="95"/>
      <c r="I9" s="86"/>
      <c r="J9" s="97"/>
      <c r="K9" s="96"/>
      <c r="L9" s="49"/>
      <c r="M9" s="105"/>
      <c r="N9" s="185"/>
      <c r="O9" s="185"/>
      <c r="P9" s="185"/>
      <c r="Q9" s="185"/>
      <c r="R9" s="185"/>
      <c r="S9" s="185"/>
      <c r="T9" s="185"/>
      <c r="U9" s="185"/>
      <c r="V9" s="185"/>
      <c r="W9" s="185"/>
      <c r="X9" s="185"/>
      <c r="Y9" s="185"/>
      <c r="Z9" s="185"/>
      <c r="AA9" s="185"/>
      <c r="AB9" s="185"/>
      <c r="AC9" s="185"/>
      <c r="AD9" s="185"/>
      <c r="AE9" s="185"/>
    </row>
    <row r="10" spans="1:31" ht="12.75" x14ac:dyDescent="0.2">
      <c r="A10" s="102"/>
      <c r="B10" s="86"/>
      <c r="C10" s="86"/>
      <c r="D10" s="95"/>
      <c r="E10" s="93"/>
      <c r="F10" s="93"/>
      <c r="G10" s="86"/>
      <c r="H10" s="95"/>
      <c r="I10" s="86"/>
      <c r="J10" s="97"/>
      <c r="K10" s="96"/>
      <c r="L10" s="49"/>
      <c r="M10" s="105"/>
      <c r="N10" s="185"/>
      <c r="O10" s="185"/>
      <c r="P10" s="185"/>
      <c r="Q10" s="185"/>
      <c r="R10" s="185"/>
      <c r="S10" s="185"/>
      <c r="T10" s="185"/>
      <c r="U10" s="185"/>
      <c r="V10" s="185"/>
      <c r="W10" s="185"/>
      <c r="X10" s="185"/>
      <c r="Y10" s="185"/>
      <c r="Z10" s="185"/>
      <c r="AA10" s="185"/>
      <c r="AB10" s="185"/>
      <c r="AC10" s="185"/>
      <c r="AD10" s="185"/>
      <c r="AE10" s="185"/>
    </row>
    <row r="11" spans="1:31" ht="12.75" x14ac:dyDescent="0.2">
      <c r="A11" s="102"/>
      <c r="B11" s="86"/>
      <c r="C11" s="86"/>
      <c r="D11" s="95"/>
      <c r="E11" s="93"/>
      <c r="F11" s="93"/>
      <c r="G11" s="86"/>
      <c r="H11" s="95"/>
      <c r="I11" s="86"/>
      <c r="J11" s="97"/>
      <c r="K11" s="96"/>
      <c r="L11" s="49"/>
      <c r="M11" s="105"/>
      <c r="N11" s="185"/>
      <c r="O11" s="185"/>
      <c r="P11" s="185"/>
      <c r="Q11" s="185"/>
      <c r="R11" s="185"/>
      <c r="S11" s="185"/>
      <c r="T11" s="185"/>
      <c r="U11" s="185"/>
      <c r="V11" s="185"/>
      <c r="W11" s="185"/>
      <c r="X11" s="185"/>
      <c r="Y11" s="185"/>
      <c r="Z11" s="185"/>
      <c r="AA11" s="185"/>
      <c r="AB11" s="185"/>
      <c r="AC11" s="185"/>
      <c r="AD11" s="185"/>
      <c r="AE11" s="185"/>
    </row>
    <row r="12" spans="1:31" ht="12.75" x14ac:dyDescent="0.2">
      <c r="A12" s="102"/>
      <c r="B12" s="86"/>
      <c r="C12" s="86"/>
      <c r="D12" s="95"/>
      <c r="E12" s="93"/>
      <c r="F12" s="93"/>
      <c r="G12" s="86"/>
      <c r="H12" s="95"/>
      <c r="I12" s="86"/>
      <c r="J12" s="97"/>
      <c r="K12" s="96"/>
      <c r="L12" s="49"/>
      <c r="M12" s="105"/>
      <c r="N12" s="185"/>
      <c r="O12" s="185"/>
      <c r="P12" s="185"/>
      <c r="Q12" s="185"/>
      <c r="R12" s="185"/>
      <c r="S12" s="185"/>
      <c r="T12" s="185"/>
      <c r="U12" s="185"/>
      <c r="V12" s="185"/>
      <c r="W12" s="185"/>
      <c r="X12" s="185"/>
      <c r="Y12" s="185"/>
      <c r="Z12" s="185"/>
      <c r="AA12" s="185"/>
      <c r="AB12" s="185"/>
      <c r="AC12" s="185"/>
      <c r="AD12" s="185"/>
      <c r="AE12" s="185"/>
    </row>
    <row r="13" spans="1:31" x14ac:dyDescent="0.2">
      <c r="A13" s="102"/>
      <c r="B13" s="86"/>
      <c r="C13" s="86"/>
      <c r="D13" s="95"/>
      <c r="E13" s="93"/>
      <c r="F13" s="93"/>
      <c r="G13" s="86"/>
      <c r="H13" s="95"/>
      <c r="I13" s="86"/>
      <c r="J13" s="97"/>
      <c r="K13" s="96"/>
      <c r="L13" s="49"/>
      <c r="M13" s="49"/>
      <c r="N13" s="185"/>
      <c r="O13" s="185"/>
      <c r="P13" s="185"/>
      <c r="Q13" s="185"/>
      <c r="R13" s="185"/>
      <c r="S13" s="185"/>
      <c r="T13" s="185"/>
      <c r="U13" s="185"/>
      <c r="V13" s="185"/>
      <c r="W13" s="185"/>
      <c r="X13" s="185"/>
      <c r="Y13" s="185"/>
      <c r="Z13" s="185"/>
      <c r="AA13" s="185"/>
      <c r="AB13" s="185"/>
      <c r="AC13" s="185"/>
      <c r="AD13" s="185"/>
      <c r="AE13" s="185"/>
    </row>
    <row r="14" spans="1:31" x14ac:dyDescent="0.2">
      <c r="A14" s="102"/>
      <c r="B14" s="86"/>
      <c r="C14" s="86"/>
      <c r="D14" s="95"/>
      <c r="E14" s="93"/>
      <c r="F14" s="93"/>
      <c r="G14" s="86"/>
      <c r="H14" s="95"/>
      <c r="I14" s="86"/>
      <c r="J14" s="97"/>
      <c r="K14" s="96"/>
      <c r="L14" s="49"/>
      <c r="M14" s="49"/>
      <c r="N14" s="185"/>
      <c r="O14" s="185"/>
      <c r="P14" s="185"/>
      <c r="Q14" s="185"/>
      <c r="R14" s="185"/>
      <c r="S14" s="185"/>
      <c r="T14" s="185"/>
      <c r="U14" s="185"/>
      <c r="V14" s="185"/>
      <c r="W14" s="185"/>
      <c r="X14" s="185"/>
      <c r="Y14" s="185"/>
      <c r="Z14" s="185"/>
      <c r="AA14" s="185"/>
      <c r="AB14" s="185"/>
      <c r="AC14" s="185"/>
      <c r="AD14" s="185"/>
      <c r="AE14" s="185"/>
    </row>
    <row r="15" spans="1:31" x14ac:dyDescent="0.2">
      <c r="A15" s="102"/>
      <c r="B15" s="86"/>
      <c r="C15" s="86"/>
      <c r="D15" s="95"/>
      <c r="E15" s="93"/>
      <c r="F15" s="93"/>
      <c r="G15" s="86"/>
      <c r="H15" s="95"/>
      <c r="I15" s="86"/>
      <c r="J15" s="97"/>
      <c r="K15" s="96"/>
      <c r="L15" s="49"/>
      <c r="M15" s="49"/>
      <c r="N15" s="185"/>
      <c r="O15" s="185"/>
      <c r="P15" s="185"/>
      <c r="Q15" s="185"/>
      <c r="R15" s="185"/>
      <c r="S15" s="185"/>
      <c r="T15" s="185"/>
      <c r="U15" s="185"/>
      <c r="V15" s="185"/>
      <c r="W15" s="185"/>
      <c r="X15" s="185"/>
      <c r="Y15" s="185"/>
      <c r="Z15" s="185"/>
      <c r="AA15" s="185"/>
      <c r="AB15" s="185"/>
      <c r="AC15" s="185"/>
      <c r="AD15" s="185"/>
      <c r="AE15" s="185"/>
    </row>
    <row r="16" spans="1:31" x14ac:dyDescent="0.2">
      <c r="A16" s="102"/>
      <c r="B16" s="86"/>
      <c r="C16" s="86"/>
      <c r="D16" s="95"/>
      <c r="E16" s="93"/>
      <c r="F16" s="93"/>
      <c r="G16" s="86"/>
      <c r="H16" s="95"/>
      <c r="I16" s="86"/>
      <c r="J16" s="97"/>
      <c r="K16" s="96"/>
      <c r="L16" s="49"/>
      <c r="M16" s="49"/>
      <c r="N16" s="185"/>
      <c r="O16" s="185"/>
      <c r="P16" s="185"/>
      <c r="Q16" s="185"/>
      <c r="R16" s="185"/>
      <c r="S16" s="185"/>
      <c r="T16" s="185"/>
      <c r="U16" s="185"/>
      <c r="V16" s="185"/>
      <c r="W16" s="185"/>
      <c r="X16" s="185"/>
      <c r="Y16" s="185"/>
      <c r="Z16" s="185"/>
      <c r="AA16" s="185"/>
      <c r="AB16" s="185"/>
      <c r="AC16" s="185"/>
      <c r="AD16" s="185"/>
      <c r="AE16" s="185"/>
    </row>
    <row r="17" spans="1:31" x14ac:dyDescent="0.2">
      <c r="A17" s="102"/>
      <c r="B17" s="86"/>
      <c r="C17" s="86"/>
      <c r="D17" s="95"/>
      <c r="E17" s="93"/>
      <c r="F17" s="93"/>
      <c r="G17" s="86"/>
      <c r="H17" s="95"/>
      <c r="I17" s="86"/>
      <c r="J17" s="97"/>
      <c r="K17" s="96"/>
      <c r="L17" s="49"/>
      <c r="M17" s="49"/>
      <c r="N17" s="185"/>
      <c r="O17" s="185"/>
      <c r="P17" s="185"/>
      <c r="Q17" s="185"/>
      <c r="R17" s="185"/>
      <c r="S17" s="185"/>
      <c r="T17" s="185"/>
      <c r="U17" s="185"/>
      <c r="V17" s="185"/>
      <c r="W17" s="185"/>
      <c r="X17" s="185"/>
      <c r="Y17" s="185"/>
      <c r="Z17" s="185"/>
      <c r="AA17" s="185"/>
      <c r="AB17" s="185"/>
      <c r="AC17" s="185"/>
      <c r="AD17" s="185"/>
      <c r="AE17" s="185"/>
    </row>
    <row r="18" spans="1:31" x14ac:dyDescent="0.2">
      <c r="A18" s="102"/>
      <c r="B18" s="86"/>
      <c r="C18" s="86"/>
      <c r="D18" s="95"/>
      <c r="E18" s="93"/>
      <c r="F18" s="93"/>
      <c r="G18" s="86"/>
      <c r="H18" s="95"/>
      <c r="I18" s="86"/>
      <c r="J18" s="97"/>
      <c r="K18" s="96"/>
      <c r="L18" s="49"/>
      <c r="M18" s="49"/>
      <c r="N18" s="185"/>
      <c r="O18" s="185"/>
      <c r="P18" s="185"/>
      <c r="Q18" s="185"/>
      <c r="R18" s="185"/>
      <c r="S18" s="185"/>
      <c r="T18" s="185"/>
      <c r="U18" s="185"/>
      <c r="V18" s="185"/>
      <c r="W18" s="185"/>
      <c r="X18" s="185"/>
      <c r="Y18" s="185"/>
      <c r="Z18" s="185"/>
      <c r="AA18" s="185"/>
      <c r="AB18" s="185"/>
      <c r="AC18" s="185"/>
      <c r="AD18" s="185"/>
      <c r="AE18" s="185"/>
    </row>
    <row r="19" spans="1:31" x14ac:dyDescent="0.2">
      <c r="A19" s="102"/>
      <c r="B19" s="86"/>
      <c r="C19" s="86"/>
      <c r="D19" s="95"/>
      <c r="E19" s="93"/>
      <c r="F19" s="93"/>
      <c r="G19" s="86"/>
      <c r="H19" s="95"/>
      <c r="I19" s="86"/>
      <c r="J19" s="97"/>
      <c r="K19" s="96"/>
      <c r="L19" s="49"/>
      <c r="M19" s="49"/>
      <c r="N19" s="185"/>
      <c r="O19" s="185"/>
      <c r="P19" s="185"/>
      <c r="Q19" s="185"/>
      <c r="R19" s="185"/>
      <c r="S19" s="185"/>
      <c r="T19" s="185"/>
      <c r="U19" s="185"/>
      <c r="V19" s="185"/>
      <c r="W19" s="185"/>
      <c r="X19" s="185"/>
      <c r="Y19" s="185"/>
      <c r="Z19" s="185"/>
      <c r="AA19" s="185"/>
      <c r="AB19" s="185"/>
      <c r="AC19" s="185"/>
      <c r="AD19" s="185"/>
      <c r="AE19" s="185"/>
    </row>
    <row r="20" spans="1:31" x14ac:dyDescent="0.2">
      <c r="A20" s="102"/>
      <c r="B20" s="86"/>
      <c r="C20" s="86"/>
      <c r="D20" s="95"/>
      <c r="E20" s="93"/>
      <c r="F20" s="93"/>
      <c r="G20" s="86"/>
      <c r="H20" s="95"/>
      <c r="I20" s="86"/>
      <c r="J20" s="97"/>
      <c r="K20" s="96"/>
      <c r="L20" s="49"/>
      <c r="M20" s="49"/>
      <c r="N20" s="185"/>
      <c r="O20" s="185"/>
      <c r="P20" s="185"/>
      <c r="Q20" s="185"/>
      <c r="R20" s="185"/>
      <c r="S20" s="185"/>
      <c r="T20" s="185"/>
      <c r="U20" s="185"/>
      <c r="V20" s="185"/>
      <c r="W20" s="185"/>
      <c r="X20" s="185"/>
      <c r="Y20" s="185"/>
      <c r="Z20" s="185"/>
      <c r="AA20" s="185"/>
      <c r="AB20" s="185"/>
      <c r="AC20" s="185"/>
      <c r="AD20" s="185"/>
      <c r="AE20" s="185"/>
    </row>
    <row r="21" spans="1:31" x14ac:dyDescent="0.2">
      <c r="A21" s="102"/>
      <c r="B21" s="86"/>
      <c r="C21" s="86"/>
      <c r="D21" s="95"/>
      <c r="E21" s="93"/>
      <c r="F21" s="93"/>
      <c r="G21" s="86"/>
      <c r="H21" s="95"/>
      <c r="I21" s="86"/>
      <c r="J21" s="97"/>
      <c r="K21" s="96"/>
      <c r="L21" s="49"/>
      <c r="M21" s="49"/>
      <c r="N21" s="185"/>
      <c r="O21" s="185"/>
      <c r="P21" s="185"/>
      <c r="Q21" s="185"/>
      <c r="R21" s="185"/>
      <c r="S21" s="185"/>
      <c r="T21" s="185"/>
      <c r="U21" s="185"/>
      <c r="V21" s="185"/>
      <c r="W21" s="185"/>
      <c r="X21" s="185"/>
      <c r="Y21" s="185"/>
      <c r="Z21" s="185"/>
      <c r="AA21" s="185"/>
      <c r="AB21" s="185"/>
      <c r="AC21" s="185"/>
      <c r="AD21" s="185"/>
      <c r="AE21" s="185"/>
    </row>
    <row r="22" spans="1:31" x14ac:dyDescent="0.2">
      <c r="A22" s="102"/>
      <c r="B22" s="86"/>
      <c r="C22" s="86"/>
      <c r="D22" s="95"/>
      <c r="E22" s="93"/>
      <c r="F22" s="93"/>
      <c r="G22" s="86"/>
      <c r="H22" s="95"/>
      <c r="I22" s="86"/>
      <c r="J22" s="97"/>
      <c r="K22" s="96"/>
      <c r="L22" s="49"/>
      <c r="M22" s="49"/>
      <c r="N22" s="185"/>
      <c r="O22" s="185"/>
      <c r="P22" s="185"/>
      <c r="Q22" s="185"/>
      <c r="R22" s="185"/>
      <c r="S22" s="185"/>
      <c r="T22" s="185"/>
      <c r="U22" s="185"/>
      <c r="V22" s="185"/>
      <c r="W22" s="185"/>
      <c r="X22" s="185"/>
      <c r="Y22" s="185"/>
      <c r="Z22" s="185"/>
      <c r="AA22" s="185"/>
      <c r="AB22" s="185"/>
      <c r="AC22" s="185"/>
      <c r="AD22" s="185"/>
      <c r="AE22" s="185"/>
    </row>
    <row r="23" spans="1:31" x14ac:dyDescent="0.2">
      <c r="A23" s="102"/>
      <c r="B23" s="86"/>
      <c r="C23" s="86"/>
      <c r="D23" s="95"/>
      <c r="E23" s="93"/>
      <c r="F23" s="93"/>
      <c r="G23" s="86"/>
      <c r="H23" s="95"/>
      <c r="I23" s="86"/>
      <c r="J23" s="97"/>
      <c r="K23" s="96"/>
      <c r="L23" s="49"/>
      <c r="M23" s="49"/>
      <c r="N23" s="185"/>
      <c r="O23" s="185"/>
      <c r="P23" s="185"/>
      <c r="Q23" s="185"/>
      <c r="R23" s="185"/>
      <c r="S23" s="185"/>
      <c r="T23" s="185"/>
      <c r="U23" s="185"/>
      <c r="V23" s="185"/>
      <c r="W23" s="185"/>
      <c r="X23" s="185"/>
      <c r="Y23" s="185"/>
      <c r="Z23" s="185"/>
      <c r="AA23" s="185"/>
      <c r="AB23" s="185"/>
      <c r="AC23" s="185"/>
      <c r="AD23" s="185"/>
      <c r="AE23" s="185"/>
    </row>
    <row r="24" spans="1:31" x14ac:dyDescent="0.2">
      <c r="A24" s="102"/>
      <c r="B24" s="86"/>
      <c r="C24" s="86"/>
      <c r="D24" s="95"/>
      <c r="E24" s="93"/>
      <c r="F24" s="93"/>
      <c r="G24" s="86"/>
      <c r="H24" s="95"/>
      <c r="I24" s="86"/>
      <c r="J24" s="97"/>
      <c r="K24" s="96"/>
      <c r="L24" s="49"/>
      <c r="M24" s="49"/>
      <c r="N24" s="185"/>
      <c r="O24" s="185"/>
      <c r="P24" s="185"/>
      <c r="Q24" s="185"/>
      <c r="R24" s="185"/>
      <c r="S24" s="185"/>
      <c r="T24" s="185"/>
      <c r="U24" s="185"/>
      <c r="V24" s="185"/>
      <c r="W24" s="185"/>
      <c r="X24" s="185"/>
      <c r="Y24" s="185"/>
      <c r="Z24" s="185"/>
      <c r="AA24" s="185"/>
      <c r="AB24" s="185"/>
      <c r="AC24" s="185"/>
      <c r="AD24" s="185"/>
      <c r="AE24" s="185"/>
    </row>
    <row r="25" spans="1:31" x14ac:dyDescent="0.2">
      <c r="A25" s="102"/>
      <c r="B25" s="86"/>
      <c r="C25" s="86"/>
      <c r="D25" s="95"/>
      <c r="E25" s="93"/>
      <c r="F25" s="93"/>
      <c r="G25" s="86"/>
      <c r="H25" s="95"/>
      <c r="I25" s="86"/>
      <c r="J25" s="97"/>
      <c r="K25" s="96"/>
      <c r="L25" s="49"/>
      <c r="M25" s="49"/>
      <c r="N25" s="185"/>
      <c r="O25" s="185"/>
      <c r="P25" s="185"/>
      <c r="Q25" s="185"/>
      <c r="R25" s="185"/>
      <c r="S25" s="185"/>
      <c r="T25" s="185"/>
      <c r="U25" s="185"/>
      <c r="V25" s="185"/>
      <c r="W25" s="185"/>
      <c r="X25" s="185"/>
      <c r="Y25" s="185"/>
      <c r="Z25" s="185"/>
      <c r="AA25" s="185"/>
      <c r="AB25" s="185"/>
      <c r="AC25" s="185"/>
      <c r="AD25" s="185"/>
      <c r="AE25" s="185"/>
    </row>
    <row r="26" spans="1:31" x14ac:dyDescent="0.2">
      <c r="A26" s="102"/>
      <c r="B26" s="86"/>
      <c r="C26" s="86"/>
      <c r="D26" s="95"/>
      <c r="E26" s="93"/>
      <c r="F26" s="93"/>
      <c r="G26" s="86"/>
      <c r="H26" s="95"/>
      <c r="I26" s="86"/>
      <c r="J26" s="97"/>
      <c r="K26" s="96"/>
      <c r="L26" s="49"/>
      <c r="M26" s="49"/>
      <c r="N26" s="185"/>
      <c r="O26" s="185"/>
      <c r="P26" s="185"/>
      <c r="Q26" s="185"/>
      <c r="R26" s="185"/>
      <c r="S26" s="185"/>
      <c r="T26" s="185"/>
      <c r="U26" s="185"/>
      <c r="V26" s="185"/>
      <c r="W26" s="185"/>
      <c r="X26" s="185"/>
      <c r="Y26" s="185"/>
      <c r="Z26" s="185"/>
      <c r="AA26" s="185"/>
      <c r="AB26" s="185"/>
      <c r="AC26" s="185"/>
      <c r="AD26" s="185"/>
      <c r="AE26" s="185"/>
    </row>
    <row r="27" spans="1:31" x14ac:dyDescent="0.2">
      <c r="A27" s="102"/>
      <c r="B27" s="86"/>
      <c r="C27" s="86"/>
      <c r="D27" s="95"/>
      <c r="E27" s="93"/>
      <c r="F27" s="93"/>
      <c r="G27" s="86"/>
      <c r="H27" s="95"/>
      <c r="I27" s="86"/>
      <c r="J27" s="97"/>
      <c r="K27" s="96"/>
      <c r="L27" s="49"/>
      <c r="M27" s="49"/>
      <c r="N27" s="185"/>
      <c r="O27" s="185"/>
      <c r="P27" s="185"/>
      <c r="Q27" s="185"/>
      <c r="R27" s="185"/>
      <c r="S27" s="185"/>
      <c r="T27" s="185"/>
      <c r="U27" s="185"/>
      <c r="V27" s="185"/>
      <c r="W27" s="185"/>
      <c r="X27" s="185"/>
      <c r="Y27" s="185"/>
      <c r="Z27" s="185"/>
      <c r="AA27" s="185"/>
      <c r="AB27" s="185"/>
      <c r="AC27" s="185"/>
      <c r="AD27" s="185"/>
      <c r="AE27" s="185"/>
    </row>
    <row r="28" spans="1:31" x14ac:dyDescent="0.2">
      <c r="A28" s="102"/>
      <c r="B28" s="86"/>
      <c r="C28" s="86"/>
      <c r="D28" s="95"/>
      <c r="E28" s="93"/>
      <c r="F28" s="93"/>
      <c r="G28" s="86"/>
      <c r="H28" s="95"/>
      <c r="I28" s="86"/>
      <c r="J28" s="97"/>
      <c r="K28" s="96"/>
      <c r="L28" s="49"/>
      <c r="M28" s="49"/>
      <c r="N28" s="185"/>
      <c r="O28" s="185"/>
      <c r="P28" s="185"/>
      <c r="Q28" s="185"/>
      <c r="R28" s="185"/>
      <c r="S28" s="185"/>
      <c r="T28" s="185"/>
      <c r="U28" s="185"/>
      <c r="V28" s="185"/>
      <c r="W28" s="185"/>
      <c r="X28" s="185"/>
      <c r="Y28" s="185"/>
      <c r="Z28" s="185"/>
      <c r="AA28" s="185"/>
      <c r="AB28" s="185"/>
      <c r="AC28" s="185"/>
      <c r="AD28" s="185"/>
      <c r="AE28" s="185"/>
    </row>
    <row r="29" spans="1:31" x14ac:dyDescent="0.2">
      <c r="A29" s="102"/>
      <c r="B29" s="86"/>
      <c r="C29" s="86"/>
      <c r="D29" s="95"/>
      <c r="E29" s="93"/>
      <c r="F29" s="93"/>
      <c r="G29" s="86"/>
      <c r="H29" s="95"/>
      <c r="I29" s="86"/>
      <c r="J29" s="97"/>
      <c r="K29" s="96"/>
      <c r="L29" s="49"/>
      <c r="M29" s="49"/>
      <c r="N29" s="185"/>
      <c r="O29" s="185"/>
      <c r="P29" s="185"/>
      <c r="Q29" s="185"/>
      <c r="R29" s="185"/>
      <c r="S29" s="185"/>
      <c r="T29" s="185"/>
      <c r="U29" s="185"/>
      <c r="V29" s="185"/>
      <c r="W29" s="185"/>
      <c r="X29" s="185"/>
      <c r="Y29" s="185"/>
      <c r="Z29" s="185"/>
      <c r="AA29" s="185"/>
      <c r="AB29" s="185"/>
      <c r="AC29" s="185"/>
      <c r="AD29" s="185"/>
      <c r="AE29" s="185"/>
    </row>
    <row r="30" spans="1:31" x14ac:dyDescent="0.2">
      <c r="A30" s="102"/>
      <c r="B30" s="86"/>
      <c r="C30" s="86"/>
      <c r="D30" s="95"/>
      <c r="E30" s="93"/>
      <c r="F30" s="93"/>
      <c r="G30" s="86"/>
      <c r="H30" s="95"/>
      <c r="I30" s="86"/>
      <c r="J30" s="97"/>
      <c r="K30" s="96"/>
      <c r="L30" s="49"/>
      <c r="M30" s="49"/>
      <c r="N30" s="185"/>
      <c r="O30" s="185"/>
      <c r="P30" s="185"/>
      <c r="Q30" s="185"/>
      <c r="R30" s="185"/>
      <c r="S30" s="185"/>
      <c r="T30" s="185"/>
      <c r="U30" s="185"/>
      <c r="V30" s="185"/>
      <c r="W30" s="185"/>
      <c r="X30" s="185"/>
      <c r="Y30" s="185"/>
      <c r="Z30" s="185"/>
      <c r="AA30" s="185"/>
      <c r="AB30" s="185"/>
      <c r="AC30" s="185"/>
      <c r="AD30" s="185"/>
      <c r="AE30" s="185"/>
    </row>
    <row r="31" spans="1:31" x14ac:dyDescent="0.2">
      <c r="A31" s="102"/>
      <c r="B31" s="86"/>
      <c r="C31" s="86"/>
      <c r="D31" s="95"/>
      <c r="E31" s="93"/>
      <c r="F31" s="93"/>
      <c r="G31" s="86"/>
      <c r="H31" s="95"/>
      <c r="I31" s="86"/>
      <c r="J31" s="97"/>
      <c r="K31" s="96"/>
      <c r="L31" s="49"/>
      <c r="M31" s="49"/>
      <c r="N31" s="185"/>
      <c r="O31" s="185"/>
      <c r="P31" s="185"/>
      <c r="Q31" s="185"/>
      <c r="R31" s="185"/>
      <c r="S31" s="185"/>
      <c r="T31" s="185"/>
      <c r="U31" s="185"/>
      <c r="V31" s="185"/>
      <c r="W31" s="185"/>
      <c r="X31" s="185"/>
      <c r="Y31" s="185"/>
      <c r="Z31" s="185"/>
      <c r="AA31" s="185"/>
      <c r="AB31" s="185"/>
      <c r="AC31" s="185"/>
      <c r="AD31" s="185"/>
      <c r="AE31" s="185"/>
    </row>
    <row r="32" spans="1:31" x14ac:dyDescent="0.2">
      <c r="A32" s="102"/>
      <c r="B32" s="86"/>
      <c r="C32" s="86"/>
      <c r="D32" s="95"/>
      <c r="E32" s="93"/>
      <c r="F32" s="93"/>
      <c r="G32" s="86"/>
      <c r="H32" s="95"/>
      <c r="I32" s="86"/>
      <c r="J32" s="97"/>
      <c r="K32" s="96"/>
      <c r="L32" s="49"/>
      <c r="M32" s="49"/>
      <c r="N32" s="185"/>
      <c r="O32" s="185"/>
      <c r="P32" s="185"/>
      <c r="Q32" s="185"/>
      <c r="R32" s="185"/>
      <c r="S32" s="185"/>
      <c r="T32" s="185"/>
      <c r="U32" s="185"/>
      <c r="V32" s="185"/>
      <c r="W32" s="185"/>
      <c r="X32" s="185"/>
      <c r="Y32" s="185"/>
      <c r="Z32" s="185"/>
      <c r="AA32" s="185"/>
      <c r="AB32" s="185"/>
      <c r="AC32" s="185"/>
      <c r="AD32" s="185"/>
      <c r="AE32" s="185"/>
    </row>
    <row r="33" spans="1:31" x14ac:dyDescent="0.2">
      <c r="A33" s="102"/>
      <c r="B33" s="86"/>
      <c r="C33" s="86"/>
      <c r="D33" s="95"/>
      <c r="E33" s="93"/>
      <c r="F33" s="93"/>
      <c r="G33" s="86"/>
      <c r="H33" s="95"/>
      <c r="I33" s="86"/>
      <c r="J33" s="97"/>
      <c r="K33" s="96"/>
      <c r="L33" s="49"/>
      <c r="M33" s="49"/>
      <c r="N33" s="185"/>
      <c r="O33" s="185"/>
      <c r="P33" s="185"/>
      <c r="Q33" s="185"/>
      <c r="R33" s="185"/>
      <c r="S33" s="185"/>
      <c r="T33" s="185"/>
      <c r="U33" s="185"/>
      <c r="V33" s="185"/>
      <c r="W33" s="185"/>
      <c r="X33" s="185"/>
      <c r="Y33" s="185"/>
      <c r="Z33" s="185"/>
      <c r="AA33" s="185"/>
      <c r="AB33" s="185"/>
      <c r="AC33" s="185"/>
      <c r="AD33" s="185"/>
      <c r="AE33" s="185"/>
    </row>
    <row r="34" spans="1:31" x14ac:dyDescent="0.2">
      <c r="A34" s="102"/>
      <c r="B34" s="86"/>
      <c r="C34" s="86"/>
      <c r="D34" s="95"/>
      <c r="E34" s="93"/>
      <c r="F34" s="93"/>
      <c r="G34" s="86"/>
      <c r="H34" s="95"/>
      <c r="I34" s="86"/>
      <c r="J34" s="97"/>
      <c r="K34" s="96"/>
      <c r="L34" s="49"/>
      <c r="M34" s="49"/>
      <c r="N34" s="185"/>
      <c r="O34" s="185"/>
      <c r="P34" s="185"/>
      <c r="Q34" s="185"/>
      <c r="R34" s="185"/>
      <c r="S34" s="185"/>
      <c r="T34" s="185"/>
      <c r="U34" s="185"/>
      <c r="V34" s="185"/>
      <c r="W34" s="185"/>
      <c r="X34" s="185"/>
      <c r="Y34" s="185"/>
      <c r="Z34" s="185"/>
      <c r="AA34" s="185"/>
      <c r="AB34" s="185"/>
      <c r="AC34" s="185"/>
      <c r="AD34" s="185"/>
      <c r="AE34" s="185"/>
    </row>
    <row r="35" spans="1:31" x14ac:dyDescent="0.2">
      <c r="A35" s="102"/>
      <c r="B35" s="86"/>
      <c r="C35" s="86"/>
      <c r="D35" s="95"/>
      <c r="E35" s="93"/>
      <c r="F35" s="93"/>
      <c r="G35" s="86"/>
      <c r="H35" s="95"/>
      <c r="I35" s="86"/>
      <c r="J35" s="97"/>
      <c r="K35" s="96"/>
      <c r="L35" s="49"/>
      <c r="M35" s="49"/>
      <c r="N35" s="185"/>
      <c r="O35" s="185"/>
      <c r="P35" s="185"/>
      <c r="Q35" s="185"/>
      <c r="R35" s="185"/>
      <c r="S35" s="185"/>
      <c r="T35" s="185"/>
      <c r="U35" s="185"/>
      <c r="V35" s="185"/>
      <c r="W35" s="185"/>
      <c r="X35" s="185"/>
      <c r="Y35" s="185"/>
      <c r="Z35" s="185"/>
      <c r="AA35" s="185"/>
      <c r="AB35" s="185"/>
      <c r="AC35" s="185"/>
      <c r="AD35" s="185"/>
      <c r="AE35" s="185"/>
    </row>
    <row r="36" spans="1:31" x14ac:dyDescent="0.2">
      <c r="A36" s="102"/>
      <c r="B36" s="86"/>
      <c r="C36" s="86"/>
      <c r="D36" s="95"/>
      <c r="E36" s="93"/>
      <c r="F36" s="93"/>
      <c r="G36" s="86"/>
      <c r="H36" s="95"/>
      <c r="I36" s="86"/>
      <c r="J36" s="97"/>
      <c r="K36" s="96"/>
      <c r="L36" s="49"/>
      <c r="M36" s="49"/>
      <c r="N36" s="185"/>
      <c r="O36" s="185"/>
      <c r="P36" s="185"/>
      <c r="Q36" s="185"/>
      <c r="R36" s="185"/>
      <c r="S36" s="185"/>
      <c r="T36" s="185"/>
      <c r="U36" s="185"/>
      <c r="V36" s="185"/>
      <c r="W36" s="185"/>
      <c r="X36" s="185"/>
      <c r="Y36" s="185"/>
      <c r="Z36" s="185"/>
      <c r="AA36" s="185"/>
      <c r="AB36" s="185"/>
      <c r="AC36" s="185"/>
      <c r="AD36" s="185"/>
      <c r="AE36" s="185"/>
    </row>
    <row r="37" spans="1:31" x14ac:dyDescent="0.2">
      <c r="A37" s="102"/>
      <c r="B37" s="86"/>
      <c r="C37" s="86"/>
      <c r="D37" s="95"/>
      <c r="E37" s="93"/>
      <c r="F37" s="93"/>
      <c r="G37" s="86"/>
      <c r="H37" s="95"/>
      <c r="I37" s="86"/>
      <c r="J37" s="97"/>
      <c r="K37" s="96"/>
      <c r="L37" s="49"/>
      <c r="M37" s="49"/>
      <c r="N37" s="185"/>
      <c r="O37" s="185"/>
      <c r="P37" s="185"/>
      <c r="Q37" s="185"/>
      <c r="R37" s="185"/>
      <c r="S37" s="185"/>
      <c r="T37" s="185"/>
      <c r="U37" s="185"/>
      <c r="V37" s="185"/>
      <c r="W37" s="185"/>
      <c r="X37" s="185"/>
      <c r="Y37" s="185"/>
      <c r="Z37" s="185"/>
      <c r="AA37" s="185"/>
      <c r="AB37" s="185"/>
      <c r="AC37" s="185"/>
      <c r="AD37" s="185"/>
      <c r="AE37" s="185"/>
    </row>
    <row r="38" spans="1:31" x14ac:dyDescent="0.2">
      <c r="A38" s="102"/>
      <c r="B38" s="86"/>
      <c r="C38" s="86"/>
      <c r="D38" s="95"/>
      <c r="E38" s="93"/>
      <c r="F38" s="93"/>
      <c r="G38" s="86"/>
      <c r="H38" s="95"/>
      <c r="I38" s="86"/>
      <c r="J38" s="97"/>
      <c r="K38" s="96"/>
      <c r="L38" s="49"/>
      <c r="M38" s="49"/>
      <c r="N38" s="185"/>
      <c r="O38" s="185"/>
      <c r="P38" s="185"/>
      <c r="Q38" s="185"/>
      <c r="R38" s="185"/>
      <c r="S38" s="185"/>
      <c r="T38" s="185"/>
      <c r="U38" s="185"/>
      <c r="V38" s="185"/>
      <c r="W38" s="185"/>
      <c r="X38" s="185"/>
      <c r="Y38" s="185"/>
      <c r="Z38" s="185"/>
      <c r="AA38" s="185"/>
      <c r="AB38" s="185"/>
      <c r="AC38" s="185"/>
      <c r="AD38" s="185"/>
      <c r="AE38" s="185"/>
    </row>
    <row r="39" spans="1:31" x14ac:dyDescent="0.2">
      <c r="A39" s="102"/>
      <c r="B39" s="86"/>
      <c r="C39" s="86"/>
      <c r="D39" s="95"/>
      <c r="E39" s="93"/>
      <c r="F39" s="93"/>
      <c r="G39" s="86"/>
      <c r="H39" s="95"/>
      <c r="I39" s="86"/>
      <c r="J39" s="97"/>
      <c r="K39" s="96"/>
      <c r="L39" s="49"/>
      <c r="M39" s="49"/>
      <c r="N39" s="185"/>
      <c r="O39" s="185"/>
      <c r="P39" s="185"/>
      <c r="Q39" s="185"/>
      <c r="R39" s="185"/>
      <c r="S39" s="185"/>
      <c r="T39" s="185"/>
      <c r="U39" s="185"/>
      <c r="V39" s="185"/>
      <c r="W39" s="185"/>
      <c r="X39" s="185"/>
      <c r="Y39" s="185"/>
      <c r="Z39" s="185"/>
      <c r="AA39" s="185"/>
      <c r="AB39" s="185"/>
      <c r="AC39" s="185"/>
      <c r="AD39" s="185"/>
      <c r="AE39" s="185"/>
    </row>
    <row r="40" spans="1:31" x14ac:dyDescent="0.2">
      <c r="A40" s="102"/>
      <c r="B40" s="86"/>
      <c r="C40" s="86"/>
      <c r="D40" s="95"/>
      <c r="E40" s="93"/>
      <c r="F40" s="93"/>
      <c r="G40" s="86"/>
      <c r="H40" s="95"/>
      <c r="I40" s="86"/>
      <c r="J40" s="97"/>
      <c r="K40" s="96"/>
      <c r="L40" s="49"/>
      <c r="M40" s="49"/>
      <c r="N40" s="185"/>
      <c r="O40" s="185"/>
      <c r="P40" s="185"/>
      <c r="Q40" s="185"/>
      <c r="R40" s="185"/>
      <c r="S40" s="185"/>
      <c r="T40" s="185"/>
      <c r="U40" s="185"/>
      <c r="V40" s="185"/>
      <c r="W40" s="185"/>
      <c r="X40" s="185"/>
      <c r="Y40" s="185"/>
      <c r="Z40" s="185"/>
      <c r="AA40" s="185"/>
      <c r="AB40" s="185"/>
      <c r="AC40" s="185"/>
      <c r="AD40" s="185"/>
      <c r="AE40" s="185"/>
    </row>
    <row r="41" spans="1:31" x14ac:dyDescent="0.2">
      <c r="A41" s="102"/>
      <c r="B41" s="86"/>
      <c r="C41" s="86"/>
      <c r="D41" s="95"/>
      <c r="E41" s="93"/>
      <c r="F41" s="93"/>
      <c r="G41" s="86"/>
      <c r="H41" s="95"/>
      <c r="I41" s="86"/>
      <c r="J41" s="97"/>
      <c r="K41" s="96"/>
      <c r="L41" s="49"/>
      <c r="M41" s="49"/>
      <c r="N41" s="185"/>
      <c r="O41" s="185"/>
      <c r="P41" s="185"/>
      <c r="Q41" s="185"/>
      <c r="R41" s="185"/>
      <c r="S41" s="185"/>
      <c r="T41" s="185"/>
      <c r="U41" s="185"/>
      <c r="V41" s="185"/>
      <c r="W41" s="185"/>
      <c r="X41" s="185"/>
      <c r="Y41" s="185"/>
      <c r="Z41" s="185"/>
      <c r="AA41" s="185"/>
      <c r="AB41" s="185"/>
      <c r="AC41" s="185"/>
      <c r="AD41" s="185"/>
      <c r="AE41" s="185"/>
    </row>
    <row r="42" spans="1:31" x14ac:dyDescent="0.2">
      <c r="A42" s="102"/>
      <c r="B42" s="86"/>
      <c r="C42" s="86"/>
      <c r="D42" s="95"/>
      <c r="E42" s="93"/>
      <c r="F42" s="93"/>
      <c r="G42" s="86"/>
      <c r="H42" s="95"/>
      <c r="I42" s="86"/>
      <c r="J42" s="97"/>
      <c r="K42" s="96"/>
      <c r="L42" s="49"/>
      <c r="M42" s="49"/>
      <c r="N42" s="185"/>
      <c r="O42" s="185"/>
      <c r="P42" s="185"/>
      <c r="Q42" s="185"/>
      <c r="R42" s="185"/>
      <c r="S42" s="185"/>
      <c r="T42" s="185"/>
      <c r="U42" s="185"/>
      <c r="V42" s="185"/>
      <c r="W42" s="185"/>
      <c r="X42" s="185"/>
      <c r="Y42" s="185"/>
      <c r="Z42" s="185"/>
      <c r="AA42" s="185"/>
      <c r="AB42" s="185"/>
      <c r="AC42" s="185"/>
      <c r="AD42" s="185"/>
      <c r="AE42" s="185"/>
    </row>
    <row r="43" spans="1:31" x14ac:dyDescent="0.2">
      <c r="A43" s="102"/>
      <c r="B43" s="86"/>
      <c r="C43" s="86"/>
      <c r="D43" s="95"/>
      <c r="E43" s="93"/>
      <c r="F43" s="93"/>
      <c r="G43" s="86"/>
      <c r="H43" s="95"/>
      <c r="I43" s="86"/>
      <c r="J43" s="97"/>
      <c r="K43" s="96"/>
      <c r="L43" s="49"/>
      <c r="M43" s="49"/>
      <c r="N43" s="185"/>
      <c r="O43" s="185"/>
      <c r="P43" s="185"/>
      <c r="Q43" s="185"/>
      <c r="R43" s="185"/>
      <c r="S43" s="185"/>
      <c r="T43" s="185"/>
      <c r="U43" s="185"/>
      <c r="V43" s="185"/>
      <c r="W43" s="185"/>
      <c r="X43" s="185"/>
      <c r="Y43" s="185"/>
      <c r="Z43" s="185"/>
      <c r="AA43" s="185"/>
      <c r="AB43" s="185"/>
      <c r="AC43" s="185"/>
      <c r="AD43" s="185"/>
      <c r="AE43" s="185"/>
    </row>
    <row r="44" spans="1:31" x14ac:dyDescent="0.2">
      <c r="A44" s="102"/>
      <c r="B44" s="86"/>
      <c r="C44" s="86"/>
      <c r="D44" s="95"/>
      <c r="E44" s="93"/>
      <c r="F44" s="93"/>
      <c r="G44" s="86"/>
      <c r="H44" s="95"/>
      <c r="I44" s="86"/>
      <c r="J44" s="97"/>
      <c r="K44" s="96"/>
      <c r="L44" s="49"/>
      <c r="M44" s="49"/>
      <c r="N44" s="185"/>
      <c r="O44" s="185"/>
      <c r="P44" s="185"/>
      <c r="Q44" s="185"/>
      <c r="R44" s="185"/>
      <c r="S44" s="185"/>
      <c r="T44" s="185"/>
      <c r="U44" s="185"/>
      <c r="V44" s="185"/>
      <c r="W44" s="185"/>
      <c r="X44" s="185"/>
      <c r="Y44" s="185"/>
      <c r="Z44" s="185"/>
      <c r="AA44" s="185"/>
      <c r="AB44" s="185"/>
      <c r="AC44" s="185"/>
      <c r="AD44" s="185"/>
      <c r="AE44" s="185"/>
    </row>
    <row r="45" spans="1:31" x14ac:dyDescent="0.2">
      <c r="A45" s="102"/>
      <c r="B45" s="86"/>
      <c r="C45" s="86"/>
      <c r="D45" s="95"/>
      <c r="E45" s="93"/>
      <c r="F45" s="93"/>
      <c r="G45" s="86"/>
      <c r="H45" s="95"/>
      <c r="I45" s="86"/>
      <c r="J45" s="97"/>
      <c r="K45" s="96"/>
      <c r="L45" s="49"/>
      <c r="M45" s="49"/>
      <c r="N45" s="185"/>
      <c r="O45" s="185"/>
      <c r="P45" s="185"/>
      <c r="Q45" s="185"/>
      <c r="R45" s="185"/>
      <c r="S45" s="185"/>
      <c r="T45" s="185"/>
      <c r="U45" s="185"/>
      <c r="V45" s="185"/>
      <c r="W45" s="185"/>
      <c r="X45" s="185"/>
      <c r="Y45" s="185"/>
      <c r="Z45" s="185"/>
      <c r="AA45" s="185"/>
      <c r="AB45" s="185"/>
      <c r="AC45" s="185"/>
      <c r="AD45" s="185"/>
      <c r="AE45" s="185"/>
    </row>
    <row r="46" spans="1:31" x14ac:dyDescent="0.2">
      <c r="A46" s="102"/>
      <c r="B46" s="86"/>
      <c r="C46" s="86"/>
      <c r="D46" s="95"/>
      <c r="E46" s="93"/>
      <c r="F46" s="93"/>
      <c r="G46" s="86"/>
      <c r="H46" s="95"/>
      <c r="I46" s="86"/>
      <c r="J46" s="97"/>
      <c r="K46" s="96"/>
      <c r="L46" s="49"/>
      <c r="M46" s="49"/>
      <c r="N46" s="185"/>
      <c r="O46" s="185"/>
      <c r="P46" s="185"/>
      <c r="Q46" s="185"/>
      <c r="R46" s="185"/>
      <c r="S46" s="185"/>
      <c r="T46" s="185"/>
      <c r="U46" s="185"/>
      <c r="V46" s="185"/>
      <c r="W46" s="185"/>
      <c r="X46" s="185"/>
      <c r="Y46" s="185"/>
      <c r="Z46" s="185"/>
      <c r="AA46" s="185"/>
      <c r="AB46" s="185"/>
      <c r="AC46" s="185"/>
      <c r="AD46" s="185"/>
      <c r="AE46" s="185"/>
    </row>
    <row r="47" spans="1:31" x14ac:dyDescent="0.2">
      <c r="A47" s="102"/>
      <c r="B47" s="86"/>
      <c r="C47" s="86"/>
      <c r="D47" s="95"/>
      <c r="E47" s="93"/>
      <c r="F47" s="93"/>
      <c r="G47" s="86"/>
      <c r="H47" s="95"/>
      <c r="I47" s="86"/>
      <c r="J47" s="97"/>
      <c r="K47" s="96"/>
      <c r="L47" s="49"/>
      <c r="M47" s="49"/>
      <c r="N47" s="185"/>
      <c r="O47" s="185"/>
      <c r="P47" s="185"/>
      <c r="Q47" s="185"/>
      <c r="R47" s="185"/>
      <c r="S47" s="185"/>
      <c r="T47" s="185"/>
      <c r="U47" s="185"/>
      <c r="V47" s="185"/>
      <c r="W47" s="185"/>
      <c r="X47" s="185"/>
      <c r="Y47" s="185"/>
      <c r="Z47" s="185"/>
      <c r="AA47" s="185"/>
      <c r="AB47" s="185"/>
      <c r="AC47" s="185"/>
      <c r="AD47" s="185"/>
      <c r="AE47" s="185"/>
    </row>
    <row r="48" spans="1:31" x14ac:dyDescent="0.2">
      <c r="A48" s="102"/>
      <c r="B48" s="86"/>
      <c r="C48" s="86"/>
      <c r="D48" s="95"/>
      <c r="E48" s="93"/>
      <c r="F48" s="93"/>
      <c r="G48" s="86"/>
      <c r="H48" s="95"/>
      <c r="I48" s="86"/>
      <c r="J48" s="97"/>
      <c r="K48" s="96"/>
      <c r="L48" s="49"/>
      <c r="M48" s="49"/>
      <c r="N48" s="185"/>
      <c r="O48" s="185"/>
      <c r="P48" s="185"/>
      <c r="Q48" s="185"/>
      <c r="R48" s="185"/>
      <c r="S48" s="185"/>
      <c r="T48" s="185"/>
      <c r="U48" s="185"/>
      <c r="V48" s="185"/>
      <c r="W48" s="185"/>
      <c r="X48" s="185"/>
      <c r="Y48" s="185"/>
      <c r="Z48" s="185"/>
      <c r="AA48" s="185"/>
      <c r="AB48" s="185"/>
      <c r="AC48" s="185"/>
      <c r="AD48" s="185"/>
      <c r="AE48" s="185"/>
    </row>
    <row r="49" spans="1:31" x14ac:dyDescent="0.2">
      <c r="A49" s="102"/>
      <c r="B49" s="86"/>
      <c r="C49" s="86"/>
      <c r="D49" s="95"/>
      <c r="E49" s="93"/>
      <c r="F49" s="93"/>
      <c r="G49" s="86"/>
      <c r="H49" s="95"/>
      <c r="I49" s="86"/>
      <c r="J49" s="97"/>
      <c r="K49" s="96"/>
      <c r="L49" s="49"/>
      <c r="M49" s="49"/>
      <c r="N49" s="185"/>
      <c r="O49" s="185"/>
      <c r="P49" s="185"/>
      <c r="Q49" s="185"/>
      <c r="R49" s="185"/>
      <c r="S49" s="185"/>
      <c r="T49" s="185"/>
      <c r="U49" s="185"/>
      <c r="V49" s="185"/>
      <c r="W49" s="185"/>
      <c r="X49" s="185"/>
      <c r="Y49" s="185"/>
      <c r="Z49" s="185"/>
      <c r="AA49" s="185"/>
      <c r="AB49" s="185"/>
      <c r="AC49" s="185"/>
      <c r="AD49" s="185"/>
      <c r="AE49" s="185"/>
    </row>
    <row r="50" spans="1:31" x14ac:dyDescent="0.2">
      <c r="A50" s="102"/>
      <c r="B50" s="86"/>
      <c r="C50" s="86"/>
      <c r="D50" s="95"/>
      <c r="E50" s="93"/>
      <c r="F50" s="93"/>
      <c r="G50" s="86"/>
      <c r="H50" s="95"/>
      <c r="I50" s="86"/>
      <c r="J50" s="97"/>
      <c r="K50" s="96"/>
      <c r="L50" s="49"/>
      <c r="M50" s="49"/>
      <c r="N50" s="185"/>
      <c r="O50" s="185"/>
      <c r="P50" s="185"/>
      <c r="Q50" s="185"/>
      <c r="R50" s="185"/>
      <c r="S50" s="185"/>
      <c r="T50" s="185"/>
      <c r="U50" s="185"/>
      <c r="V50" s="185"/>
      <c r="W50" s="185"/>
      <c r="X50" s="185"/>
      <c r="Y50" s="185"/>
      <c r="Z50" s="185"/>
      <c r="AA50" s="185"/>
      <c r="AB50" s="185"/>
      <c r="AC50" s="185"/>
      <c r="AD50" s="185"/>
      <c r="AE50" s="185"/>
    </row>
    <row r="51" spans="1:31" x14ac:dyDescent="0.2">
      <c r="A51" s="102"/>
      <c r="B51" s="86"/>
      <c r="C51" s="86"/>
      <c r="D51" s="95"/>
      <c r="E51" s="93"/>
      <c r="F51" s="93"/>
      <c r="G51" s="86"/>
      <c r="H51" s="95"/>
      <c r="I51" s="86"/>
      <c r="J51" s="97"/>
      <c r="K51" s="96"/>
      <c r="L51" s="49"/>
      <c r="M51" s="49"/>
      <c r="N51" s="185"/>
      <c r="O51" s="185"/>
      <c r="P51" s="185"/>
      <c r="Q51" s="185"/>
      <c r="R51" s="185"/>
      <c r="S51" s="185"/>
      <c r="T51" s="185"/>
      <c r="U51" s="185"/>
      <c r="V51" s="185"/>
      <c r="W51" s="185"/>
      <c r="X51" s="185"/>
      <c r="Y51" s="185"/>
      <c r="Z51" s="185"/>
      <c r="AA51" s="185"/>
      <c r="AB51" s="185"/>
      <c r="AC51" s="185"/>
      <c r="AD51" s="185"/>
      <c r="AE51" s="185"/>
    </row>
    <row r="52" spans="1:31" x14ac:dyDescent="0.2">
      <c r="A52" s="102"/>
      <c r="B52" s="86"/>
      <c r="C52" s="86"/>
      <c r="D52" s="95"/>
      <c r="E52" s="93"/>
      <c r="F52" s="93"/>
      <c r="G52" s="86"/>
      <c r="H52" s="95"/>
      <c r="I52" s="86"/>
      <c r="J52" s="97"/>
      <c r="K52" s="96"/>
      <c r="L52" s="49"/>
      <c r="M52" s="49"/>
      <c r="N52" s="185"/>
      <c r="O52" s="185"/>
      <c r="P52" s="185"/>
      <c r="Q52" s="185"/>
      <c r="R52" s="185"/>
      <c r="S52" s="185"/>
      <c r="T52" s="185"/>
      <c r="U52" s="185"/>
      <c r="V52" s="185"/>
      <c r="W52" s="185"/>
      <c r="X52" s="185"/>
      <c r="Y52" s="185"/>
      <c r="Z52" s="185"/>
      <c r="AA52" s="185"/>
      <c r="AB52" s="185"/>
      <c r="AC52" s="185"/>
      <c r="AD52" s="185"/>
      <c r="AE52" s="185"/>
    </row>
    <row r="53" spans="1:31" x14ac:dyDescent="0.2">
      <c r="A53" s="102"/>
      <c r="B53" s="86"/>
      <c r="C53" s="86"/>
      <c r="D53" s="95"/>
      <c r="E53" s="93"/>
      <c r="F53" s="93"/>
      <c r="G53" s="86"/>
      <c r="H53" s="95"/>
      <c r="I53" s="86"/>
      <c r="J53" s="97"/>
      <c r="K53" s="96"/>
      <c r="L53" s="49"/>
      <c r="M53" s="49"/>
      <c r="N53" s="185"/>
      <c r="O53" s="185"/>
      <c r="P53" s="185"/>
      <c r="Q53" s="185"/>
      <c r="R53" s="185"/>
      <c r="S53" s="185"/>
      <c r="T53" s="185"/>
      <c r="U53" s="185"/>
      <c r="V53" s="185"/>
      <c r="W53" s="185"/>
      <c r="X53" s="185"/>
      <c r="Y53" s="185"/>
      <c r="Z53" s="185"/>
      <c r="AA53" s="185"/>
      <c r="AB53" s="185"/>
      <c r="AC53" s="185"/>
      <c r="AD53" s="185"/>
      <c r="AE53" s="185"/>
    </row>
    <row r="54" spans="1:31" x14ac:dyDescent="0.2">
      <c r="A54" s="102"/>
      <c r="B54" s="86"/>
      <c r="C54" s="86"/>
      <c r="D54" s="95"/>
      <c r="E54" s="93"/>
      <c r="F54" s="93"/>
      <c r="G54" s="86"/>
      <c r="H54" s="95"/>
      <c r="I54" s="86"/>
      <c r="J54" s="97"/>
      <c r="K54" s="96"/>
      <c r="L54" s="49"/>
      <c r="M54" s="49"/>
      <c r="N54" s="185"/>
      <c r="O54" s="185"/>
      <c r="P54" s="185"/>
      <c r="Q54" s="185"/>
      <c r="R54" s="185"/>
      <c r="S54" s="185"/>
      <c r="T54" s="185"/>
      <c r="U54" s="185"/>
      <c r="V54" s="185"/>
      <c r="W54" s="185"/>
      <c r="X54" s="185"/>
      <c r="Y54" s="185"/>
      <c r="Z54" s="185"/>
      <c r="AA54" s="185"/>
      <c r="AB54" s="185"/>
      <c r="AC54" s="185"/>
      <c r="AD54" s="185"/>
      <c r="AE54" s="185"/>
    </row>
    <row r="55" spans="1:31" x14ac:dyDescent="0.2">
      <c r="A55" s="102"/>
      <c r="B55" s="86"/>
      <c r="C55" s="86"/>
      <c r="D55" s="95"/>
      <c r="E55" s="93"/>
      <c r="F55" s="93"/>
      <c r="G55" s="86"/>
      <c r="H55" s="95"/>
      <c r="I55" s="86"/>
      <c r="J55" s="97"/>
      <c r="K55" s="96"/>
      <c r="L55" s="49"/>
      <c r="M55" s="49"/>
      <c r="N55" s="185"/>
      <c r="O55" s="185"/>
      <c r="P55" s="185"/>
      <c r="Q55" s="185"/>
      <c r="R55" s="185"/>
      <c r="S55" s="185"/>
      <c r="T55" s="185"/>
      <c r="U55" s="185"/>
      <c r="V55" s="185"/>
      <c r="W55" s="185"/>
      <c r="X55" s="185"/>
      <c r="Y55" s="185"/>
      <c r="Z55" s="185"/>
      <c r="AA55" s="185"/>
      <c r="AB55" s="185"/>
      <c r="AC55" s="185"/>
      <c r="AD55" s="185"/>
      <c r="AE55" s="185"/>
    </row>
    <row r="56" spans="1:31" x14ac:dyDescent="0.2">
      <c r="A56" s="102"/>
      <c r="B56" s="86"/>
      <c r="C56" s="86"/>
      <c r="D56" s="95"/>
      <c r="E56" s="93"/>
      <c r="F56" s="93"/>
      <c r="G56" s="86"/>
      <c r="H56" s="95"/>
      <c r="I56" s="86"/>
      <c r="J56" s="97"/>
      <c r="K56" s="96"/>
      <c r="L56" s="49"/>
      <c r="M56" s="49"/>
      <c r="N56" s="185"/>
      <c r="O56" s="185"/>
      <c r="P56" s="185"/>
      <c r="Q56" s="185"/>
      <c r="R56" s="185"/>
      <c r="S56" s="185"/>
      <c r="T56" s="185"/>
      <c r="U56" s="185"/>
      <c r="V56" s="185"/>
      <c r="W56" s="185"/>
      <c r="X56" s="185"/>
      <c r="Y56" s="185"/>
      <c r="Z56" s="185"/>
      <c r="AA56" s="185"/>
      <c r="AB56" s="185"/>
      <c r="AC56" s="185"/>
      <c r="AD56" s="185"/>
      <c r="AE56" s="185"/>
    </row>
    <row r="57" spans="1:31" x14ac:dyDescent="0.2">
      <c r="A57" s="102"/>
      <c r="B57" s="86"/>
      <c r="C57" s="86"/>
      <c r="D57" s="95"/>
      <c r="E57" s="93"/>
      <c r="F57" s="93"/>
      <c r="G57" s="86"/>
      <c r="H57" s="95"/>
      <c r="I57" s="86"/>
      <c r="J57" s="97"/>
      <c r="K57" s="96"/>
      <c r="L57" s="49"/>
      <c r="M57" s="49"/>
      <c r="N57" s="185"/>
      <c r="O57" s="185"/>
      <c r="P57" s="185"/>
      <c r="Q57" s="185"/>
      <c r="R57" s="185"/>
      <c r="S57" s="185"/>
      <c r="T57" s="185"/>
      <c r="U57" s="185"/>
      <c r="V57" s="185"/>
      <c r="W57" s="185"/>
      <c r="X57" s="185"/>
      <c r="Y57" s="185"/>
      <c r="Z57" s="185"/>
      <c r="AA57" s="185"/>
      <c r="AB57" s="185"/>
      <c r="AC57" s="185"/>
      <c r="AD57" s="185"/>
      <c r="AE57" s="185"/>
    </row>
    <row r="58" spans="1:31" x14ac:dyDescent="0.2">
      <c r="A58" s="102"/>
      <c r="B58" s="86"/>
      <c r="C58" s="86"/>
      <c r="D58" s="95"/>
      <c r="E58" s="93"/>
      <c r="F58" s="93"/>
      <c r="G58" s="86"/>
      <c r="H58" s="95"/>
      <c r="I58" s="86"/>
      <c r="J58" s="97"/>
      <c r="K58" s="96"/>
      <c r="L58" s="49"/>
      <c r="M58" s="49"/>
      <c r="N58" s="185"/>
      <c r="O58" s="185"/>
      <c r="P58" s="185"/>
      <c r="Q58" s="185"/>
      <c r="R58" s="185"/>
      <c r="S58" s="185"/>
      <c r="T58" s="185"/>
      <c r="U58" s="185"/>
      <c r="V58" s="185"/>
      <c r="W58" s="185"/>
      <c r="X58" s="185"/>
      <c r="Y58" s="185"/>
      <c r="Z58" s="185"/>
      <c r="AA58" s="185"/>
      <c r="AB58" s="185"/>
      <c r="AC58" s="185"/>
      <c r="AD58" s="185"/>
      <c r="AE58" s="185"/>
    </row>
    <row r="59" spans="1:31" x14ac:dyDescent="0.2">
      <c r="A59" s="102"/>
      <c r="B59" s="86"/>
      <c r="C59" s="86"/>
      <c r="D59" s="95"/>
      <c r="E59" s="93"/>
      <c r="F59" s="93"/>
      <c r="G59" s="86"/>
      <c r="H59" s="95"/>
      <c r="I59" s="86"/>
      <c r="J59" s="97"/>
      <c r="K59" s="96"/>
      <c r="L59" s="49"/>
      <c r="M59" s="49"/>
      <c r="N59" s="185"/>
      <c r="O59" s="185"/>
      <c r="P59" s="185"/>
      <c r="Q59" s="185"/>
      <c r="R59" s="185"/>
      <c r="S59" s="185"/>
      <c r="T59" s="185"/>
      <c r="U59" s="185"/>
      <c r="V59" s="185"/>
      <c r="W59" s="185"/>
      <c r="X59" s="185"/>
      <c r="Y59" s="185"/>
      <c r="Z59" s="185"/>
      <c r="AA59" s="185"/>
      <c r="AB59" s="185"/>
      <c r="AC59" s="185"/>
      <c r="AD59" s="185"/>
      <c r="AE59" s="185"/>
    </row>
    <row r="60" spans="1:31" x14ac:dyDescent="0.2">
      <c r="A60" s="102"/>
      <c r="B60" s="86"/>
      <c r="C60" s="86"/>
      <c r="D60" s="95"/>
      <c r="E60" s="93"/>
      <c r="F60" s="93"/>
      <c r="G60" s="86"/>
      <c r="H60" s="95"/>
      <c r="I60" s="86"/>
      <c r="J60" s="97"/>
      <c r="K60" s="96"/>
      <c r="L60" s="49"/>
      <c r="M60" s="49"/>
      <c r="N60" s="185"/>
      <c r="O60" s="185"/>
      <c r="P60" s="185"/>
      <c r="Q60" s="185"/>
      <c r="R60" s="185"/>
      <c r="S60" s="185"/>
      <c r="T60" s="185"/>
      <c r="U60" s="185"/>
      <c r="V60" s="185"/>
      <c r="W60" s="185"/>
      <c r="X60" s="185"/>
      <c r="Y60" s="185"/>
      <c r="Z60" s="185"/>
      <c r="AA60" s="185"/>
      <c r="AB60" s="185"/>
      <c r="AC60" s="185"/>
      <c r="AD60" s="185"/>
      <c r="AE60" s="185"/>
    </row>
    <row r="61" spans="1:31" x14ac:dyDescent="0.2">
      <c r="A61" s="102"/>
      <c r="B61" s="86"/>
      <c r="C61" s="86"/>
      <c r="D61" s="95"/>
      <c r="E61" s="93"/>
      <c r="F61" s="93"/>
      <c r="G61" s="86"/>
      <c r="H61" s="95"/>
      <c r="I61" s="86"/>
      <c r="J61" s="97"/>
      <c r="K61" s="96"/>
      <c r="L61" s="49"/>
      <c r="M61" s="49"/>
      <c r="N61" s="185"/>
      <c r="O61" s="185"/>
      <c r="P61" s="185"/>
      <c r="Q61" s="185"/>
      <c r="R61" s="185"/>
      <c r="S61" s="185"/>
      <c r="T61" s="185"/>
      <c r="U61" s="185"/>
      <c r="V61" s="185"/>
      <c r="W61" s="185"/>
      <c r="X61" s="185"/>
      <c r="Y61" s="185"/>
      <c r="Z61" s="185"/>
      <c r="AA61" s="185"/>
      <c r="AB61" s="185"/>
      <c r="AC61" s="185"/>
      <c r="AD61" s="185"/>
      <c r="AE61" s="185"/>
    </row>
    <row r="62" spans="1:31" x14ac:dyDescent="0.2">
      <c r="A62" s="102"/>
      <c r="B62" s="86"/>
      <c r="C62" s="86"/>
      <c r="D62" s="95"/>
      <c r="E62" s="93"/>
      <c r="F62" s="93"/>
      <c r="G62" s="86"/>
      <c r="H62" s="95"/>
      <c r="I62" s="86"/>
      <c r="J62" s="97"/>
      <c r="K62" s="96"/>
      <c r="L62" s="49"/>
      <c r="M62" s="49"/>
      <c r="N62" s="185"/>
      <c r="O62" s="185"/>
      <c r="P62" s="185"/>
      <c r="Q62" s="185"/>
      <c r="R62" s="185"/>
      <c r="S62" s="185"/>
      <c r="T62" s="185"/>
      <c r="U62" s="185"/>
      <c r="V62" s="185"/>
      <c r="W62" s="185"/>
      <c r="X62" s="185"/>
      <c r="Y62" s="185"/>
      <c r="Z62" s="185"/>
      <c r="AA62" s="185"/>
      <c r="AB62" s="185"/>
      <c r="AC62" s="185"/>
      <c r="AD62" s="185"/>
      <c r="AE62" s="185"/>
    </row>
    <row r="63" spans="1:31" x14ac:dyDescent="0.2">
      <c r="A63" s="102"/>
      <c r="B63" s="86"/>
      <c r="C63" s="86"/>
      <c r="D63" s="95"/>
      <c r="E63" s="93"/>
      <c r="F63" s="93"/>
      <c r="G63" s="86"/>
      <c r="H63" s="95"/>
      <c r="I63" s="86"/>
      <c r="J63" s="97"/>
      <c r="K63" s="96"/>
      <c r="L63" s="49"/>
      <c r="M63" s="49"/>
      <c r="N63" s="185"/>
      <c r="O63" s="185"/>
      <c r="P63" s="185"/>
      <c r="Q63" s="185"/>
      <c r="R63" s="185"/>
      <c r="S63" s="185"/>
      <c r="T63" s="185"/>
      <c r="U63" s="185"/>
      <c r="V63" s="185"/>
      <c r="W63" s="185"/>
      <c r="X63" s="185"/>
      <c r="Y63" s="185"/>
      <c r="Z63" s="185"/>
      <c r="AA63" s="185"/>
      <c r="AB63" s="185"/>
      <c r="AC63" s="185"/>
      <c r="AD63" s="185"/>
      <c r="AE63" s="185"/>
    </row>
    <row r="64" spans="1:31" x14ac:dyDescent="0.2">
      <c r="A64" s="102"/>
      <c r="B64" s="86"/>
      <c r="C64" s="86"/>
      <c r="D64" s="95"/>
      <c r="E64" s="93"/>
      <c r="F64" s="93"/>
      <c r="G64" s="86"/>
      <c r="H64" s="95"/>
      <c r="I64" s="86"/>
      <c r="J64" s="97"/>
      <c r="K64" s="96"/>
      <c r="L64" s="49"/>
      <c r="M64" s="49"/>
      <c r="N64" s="185"/>
      <c r="O64" s="185"/>
      <c r="P64" s="185"/>
      <c r="Q64" s="185"/>
      <c r="R64" s="185"/>
      <c r="S64" s="185"/>
      <c r="T64" s="185"/>
      <c r="U64" s="185"/>
      <c r="V64" s="185"/>
      <c r="W64" s="185"/>
      <c r="X64" s="185"/>
      <c r="Y64" s="185"/>
      <c r="Z64" s="185"/>
      <c r="AA64" s="185"/>
      <c r="AB64" s="185"/>
      <c r="AC64" s="185"/>
      <c r="AD64" s="185"/>
      <c r="AE64" s="185"/>
    </row>
    <row r="65" spans="1:31" x14ac:dyDescent="0.2">
      <c r="A65" s="102"/>
      <c r="B65" s="86"/>
      <c r="C65" s="86"/>
      <c r="D65" s="95"/>
      <c r="E65" s="93"/>
      <c r="F65" s="93"/>
      <c r="G65" s="86"/>
      <c r="H65" s="95"/>
      <c r="I65" s="86"/>
      <c r="J65" s="97"/>
      <c r="K65" s="96"/>
      <c r="L65" s="49"/>
      <c r="M65" s="49"/>
      <c r="N65" s="185"/>
      <c r="O65" s="185"/>
      <c r="P65" s="185"/>
      <c r="Q65" s="185"/>
      <c r="R65" s="185"/>
      <c r="S65" s="185"/>
      <c r="T65" s="185"/>
      <c r="U65" s="185"/>
      <c r="V65" s="185"/>
      <c r="W65" s="185"/>
      <c r="X65" s="185"/>
      <c r="Y65" s="185"/>
      <c r="Z65" s="185"/>
      <c r="AA65" s="185"/>
      <c r="AB65" s="185"/>
      <c r="AC65" s="185"/>
      <c r="AD65" s="185"/>
      <c r="AE65" s="185"/>
    </row>
    <row r="66" spans="1:31" x14ac:dyDescent="0.2">
      <c r="A66" s="102"/>
      <c r="B66" s="86"/>
      <c r="C66" s="86"/>
      <c r="D66" s="95"/>
      <c r="E66" s="93"/>
      <c r="F66" s="93"/>
      <c r="G66" s="86"/>
      <c r="H66" s="95"/>
      <c r="I66" s="86"/>
      <c r="J66" s="97"/>
      <c r="K66" s="96"/>
      <c r="L66" s="49"/>
      <c r="M66" s="49"/>
      <c r="N66" s="185"/>
      <c r="O66" s="185"/>
      <c r="P66" s="185"/>
      <c r="Q66" s="185"/>
      <c r="R66" s="185"/>
      <c r="S66" s="185"/>
      <c r="T66" s="185"/>
      <c r="U66" s="185"/>
      <c r="V66" s="185"/>
      <c r="W66" s="185"/>
      <c r="X66" s="185"/>
      <c r="Y66" s="185"/>
      <c r="Z66" s="185"/>
      <c r="AA66" s="185"/>
      <c r="AB66" s="185"/>
      <c r="AC66" s="185"/>
      <c r="AD66" s="185"/>
      <c r="AE66" s="185"/>
    </row>
    <row r="67" spans="1:31" x14ac:dyDescent="0.2">
      <c r="A67" s="102"/>
      <c r="B67" s="86"/>
      <c r="C67" s="86"/>
      <c r="D67" s="95"/>
      <c r="E67" s="93"/>
      <c r="F67" s="93"/>
      <c r="G67" s="86"/>
      <c r="H67" s="95"/>
      <c r="I67" s="86"/>
      <c r="J67" s="97"/>
      <c r="K67" s="96"/>
      <c r="L67" s="49"/>
      <c r="M67" s="49"/>
      <c r="N67" s="185"/>
      <c r="O67" s="185"/>
      <c r="P67" s="185"/>
      <c r="Q67" s="185"/>
      <c r="R67" s="185"/>
      <c r="S67" s="185"/>
      <c r="T67" s="185"/>
      <c r="U67" s="185"/>
      <c r="V67" s="185"/>
      <c r="W67" s="185"/>
      <c r="X67" s="185"/>
      <c r="Y67" s="185"/>
      <c r="Z67" s="185"/>
      <c r="AA67" s="185"/>
      <c r="AB67" s="185"/>
      <c r="AC67" s="185"/>
      <c r="AD67" s="185"/>
      <c r="AE67" s="185"/>
    </row>
    <row r="68" spans="1:31" x14ac:dyDescent="0.2">
      <c r="A68" s="102"/>
      <c r="B68" s="86"/>
      <c r="C68" s="86"/>
      <c r="D68" s="95"/>
      <c r="E68" s="93"/>
      <c r="F68" s="93"/>
      <c r="G68" s="86"/>
      <c r="H68" s="95"/>
      <c r="I68" s="86"/>
      <c r="J68" s="97"/>
      <c r="K68" s="96"/>
      <c r="L68" s="49"/>
      <c r="M68" s="49"/>
      <c r="N68" s="185"/>
      <c r="O68" s="185"/>
      <c r="P68" s="185"/>
      <c r="Q68" s="185"/>
      <c r="R68" s="185"/>
      <c r="S68" s="185"/>
      <c r="T68" s="185"/>
      <c r="U68" s="185"/>
      <c r="V68" s="185"/>
      <c r="W68" s="185"/>
      <c r="X68" s="185"/>
      <c r="Y68" s="185"/>
      <c r="Z68" s="185"/>
      <c r="AA68" s="185"/>
      <c r="AB68" s="185"/>
      <c r="AC68" s="185"/>
      <c r="AD68" s="185"/>
      <c r="AE68" s="185"/>
    </row>
    <row r="69" spans="1:31" x14ac:dyDescent="0.2">
      <c r="A69" s="102"/>
      <c r="B69" s="86"/>
      <c r="C69" s="86"/>
      <c r="D69" s="95"/>
      <c r="E69" s="93"/>
      <c r="F69" s="93"/>
      <c r="G69" s="86"/>
      <c r="H69" s="95"/>
      <c r="I69" s="86"/>
      <c r="J69" s="97"/>
      <c r="K69" s="96"/>
      <c r="L69" s="49"/>
      <c r="M69" s="49"/>
      <c r="N69" s="185"/>
      <c r="O69" s="185"/>
      <c r="P69" s="185"/>
      <c r="Q69" s="185"/>
      <c r="R69" s="185"/>
      <c r="S69" s="185"/>
      <c r="T69" s="185"/>
      <c r="U69" s="185"/>
      <c r="V69" s="185"/>
      <c r="W69" s="185"/>
      <c r="X69" s="185"/>
      <c r="Y69" s="185"/>
      <c r="Z69" s="185"/>
      <c r="AA69" s="185"/>
      <c r="AB69" s="185"/>
      <c r="AC69" s="185"/>
      <c r="AD69" s="185"/>
      <c r="AE69" s="185"/>
    </row>
    <row r="70" spans="1:31" x14ac:dyDescent="0.2">
      <c r="A70" s="102"/>
      <c r="B70" s="86"/>
      <c r="C70" s="86"/>
      <c r="D70" s="95"/>
      <c r="E70" s="93"/>
      <c r="F70" s="93"/>
      <c r="G70" s="86"/>
      <c r="H70" s="95"/>
      <c r="I70" s="86"/>
      <c r="J70" s="97"/>
      <c r="K70" s="96"/>
      <c r="L70" s="49"/>
      <c r="M70" s="49"/>
      <c r="N70" s="185"/>
      <c r="O70" s="185"/>
      <c r="P70" s="185"/>
      <c r="Q70" s="185"/>
      <c r="R70" s="185"/>
      <c r="S70" s="185"/>
      <c r="T70" s="185"/>
      <c r="U70" s="185"/>
      <c r="V70" s="185"/>
      <c r="W70" s="185"/>
      <c r="X70" s="185"/>
      <c r="Y70" s="185"/>
      <c r="Z70" s="185"/>
      <c r="AA70" s="185"/>
      <c r="AB70" s="185"/>
      <c r="AC70" s="185"/>
      <c r="AD70" s="185"/>
      <c r="AE70" s="185"/>
    </row>
    <row r="71" spans="1:31" x14ac:dyDescent="0.2">
      <c r="A71" s="102"/>
      <c r="B71" s="86"/>
      <c r="C71" s="86"/>
      <c r="D71" s="95"/>
      <c r="E71" s="93"/>
      <c r="F71" s="93"/>
      <c r="G71" s="86"/>
      <c r="H71" s="95"/>
      <c r="I71" s="86"/>
      <c r="J71" s="97"/>
      <c r="K71" s="96"/>
      <c r="L71" s="49"/>
      <c r="M71" s="49"/>
      <c r="N71" s="185"/>
      <c r="O71" s="185"/>
      <c r="P71" s="185"/>
      <c r="Q71" s="185"/>
      <c r="R71" s="185"/>
      <c r="S71" s="185"/>
      <c r="T71" s="185"/>
      <c r="U71" s="185"/>
      <c r="V71" s="185"/>
      <c r="W71" s="185"/>
      <c r="X71" s="185"/>
      <c r="Y71" s="185"/>
      <c r="Z71" s="185"/>
      <c r="AA71" s="185"/>
      <c r="AB71" s="185"/>
      <c r="AC71" s="185"/>
      <c r="AD71" s="185"/>
      <c r="AE71" s="185"/>
    </row>
    <row r="72" spans="1:31" x14ac:dyDescent="0.2">
      <c r="A72" s="102"/>
      <c r="B72" s="86"/>
      <c r="C72" s="86"/>
      <c r="D72" s="95"/>
      <c r="E72" s="93"/>
      <c r="F72" s="93"/>
      <c r="G72" s="86"/>
      <c r="H72" s="95"/>
      <c r="I72" s="86"/>
      <c r="J72" s="97"/>
      <c r="K72" s="96"/>
      <c r="L72" s="49"/>
      <c r="M72" s="49"/>
      <c r="N72" s="185"/>
      <c r="O72" s="185"/>
      <c r="P72" s="185"/>
      <c r="Q72" s="185"/>
      <c r="R72" s="185"/>
      <c r="S72" s="185"/>
      <c r="T72" s="185"/>
      <c r="U72" s="185"/>
      <c r="V72" s="185"/>
      <c r="W72" s="185"/>
      <c r="X72" s="185"/>
      <c r="Y72" s="185"/>
      <c r="Z72" s="185"/>
      <c r="AA72" s="185"/>
      <c r="AB72" s="185"/>
      <c r="AC72" s="185"/>
      <c r="AD72" s="185"/>
      <c r="AE72" s="185"/>
    </row>
    <row r="73" spans="1:31" x14ac:dyDescent="0.2">
      <c r="A73" s="102"/>
      <c r="B73" s="86"/>
      <c r="C73" s="86"/>
      <c r="D73" s="95"/>
      <c r="E73" s="93"/>
      <c r="F73" s="93"/>
      <c r="G73" s="86"/>
      <c r="H73" s="95"/>
      <c r="I73" s="86"/>
      <c r="J73" s="97"/>
      <c r="K73" s="96"/>
      <c r="L73" s="49"/>
      <c r="M73" s="49"/>
      <c r="N73" s="185"/>
      <c r="O73" s="185"/>
      <c r="P73" s="185"/>
      <c r="Q73" s="185"/>
      <c r="R73" s="185"/>
      <c r="S73" s="185"/>
      <c r="T73" s="185"/>
      <c r="U73" s="185"/>
      <c r="V73" s="185"/>
      <c r="W73" s="185"/>
      <c r="X73" s="185"/>
      <c r="Y73" s="185"/>
      <c r="Z73" s="185"/>
      <c r="AA73" s="185"/>
      <c r="AB73" s="185"/>
      <c r="AC73" s="185"/>
      <c r="AD73" s="185"/>
      <c r="AE73" s="185"/>
    </row>
    <row r="74" spans="1:31" x14ac:dyDescent="0.2">
      <c r="A74" s="102"/>
      <c r="B74" s="86"/>
      <c r="C74" s="86"/>
      <c r="D74" s="95"/>
      <c r="E74" s="93"/>
      <c r="F74" s="93"/>
      <c r="G74" s="86"/>
      <c r="H74" s="95"/>
      <c r="I74" s="86"/>
      <c r="J74" s="97"/>
      <c r="K74" s="96"/>
      <c r="L74" s="49"/>
      <c r="M74" s="49"/>
      <c r="N74" s="185"/>
      <c r="O74" s="185"/>
      <c r="P74" s="185"/>
      <c r="Q74" s="185"/>
      <c r="R74" s="185"/>
      <c r="S74" s="185"/>
      <c r="T74" s="185"/>
      <c r="U74" s="185"/>
      <c r="V74" s="185"/>
      <c r="W74" s="185"/>
      <c r="X74" s="185"/>
      <c r="Y74" s="185"/>
      <c r="Z74" s="185"/>
      <c r="AA74" s="185"/>
      <c r="AB74" s="185"/>
      <c r="AC74" s="185"/>
      <c r="AD74" s="185"/>
      <c r="AE74" s="185"/>
    </row>
    <row r="75" spans="1:31" x14ac:dyDescent="0.2">
      <c r="A75" s="102"/>
      <c r="B75" s="86"/>
      <c r="C75" s="86"/>
      <c r="D75" s="95"/>
      <c r="E75" s="93"/>
      <c r="F75" s="93"/>
      <c r="G75" s="86"/>
      <c r="H75" s="95"/>
      <c r="I75" s="86"/>
      <c r="J75" s="97"/>
      <c r="K75" s="96"/>
      <c r="L75" s="49"/>
      <c r="M75" s="49"/>
      <c r="N75" s="185"/>
      <c r="O75" s="185"/>
      <c r="P75" s="185"/>
      <c r="Q75" s="185"/>
      <c r="R75" s="185"/>
      <c r="S75" s="185"/>
      <c r="T75" s="185"/>
      <c r="U75" s="185"/>
      <c r="V75" s="185"/>
      <c r="W75" s="185"/>
      <c r="X75" s="185"/>
      <c r="Y75" s="185"/>
      <c r="Z75" s="185"/>
      <c r="AA75" s="185"/>
      <c r="AB75" s="185"/>
      <c r="AC75" s="185"/>
      <c r="AD75" s="185"/>
      <c r="AE75" s="185"/>
    </row>
    <row r="76" spans="1:31" x14ac:dyDescent="0.2">
      <c r="A76" s="102"/>
      <c r="B76" s="86"/>
      <c r="C76" s="86"/>
      <c r="D76" s="95"/>
      <c r="E76" s="93"/>
      <c r="F76" s="93"/>
      <c r="G76" s="86"/>
      <c r="H76" s="95"/>
      <c r="I76" s="86"/>
      <c r="J76" s="97"/>
      <c r="K76" s="96"/>
      <c r="L76" s="49"/>
      <c r="M76" s="49"/>
      <c r="N76" s="185"/>
      <c r="O76" s="185"/>
      <c r="P76" s="185"/>
      <c r="Q76" s="185"/>
      <c r="R76" s="185"/>
      <c r="S76" s="185"/>
      <c r="T76" s="185"/>
      <c r="U76" s="185"/>
      <c r="V76" s="185"/>
      <c r="W76" s="185"/>
      <c r="X76" s="185"/>
      <c r="Y76" s="185"/>
      <c r="Z76" s="185"/>
      <c r="AA76" s="185"/>
      <c r="AB76" s="185"/>
      <c r="AC76" s="185"/>
      <c r="AD76" s="185"/>
      <c r="AE76" s="185"/>
    </row>
    <row r="77" spans="1:31" x14ac:dyDescent="0.2">
      <c r="A77" s="102"/>
      <c r="B77" s="86"/>
      <c r="C77" s="86"/>
      <c r="D77" s="95"/>
      <c r="E77" s="93"/>
      <c r="F77" s="93"/>
      <c r="G77" s="86"/>
      <c r="H77" s="95"/>
      <c r="I77" s="86"/>
      <c r="J77" s="97"/>
      <c r="K77" s="96"/>
      <c r="L77" s="49"/>
      <c r="M77" s="49"/>
      <c r="N77" s="185"/>
      <c r="O77" s="185"/>
      <c r="P77" s="185"/>
      <c r="Q77" s="185"/>
      <c r="R77" s="185"/>
      <c r="S77" s="185"/>
      <c r="T77" s="185"/>
      <c r="U77" s="185"/>
      <c r="V77" s="185"/>
      <c r="W77" s="185"/>
      <c r="X77" s="185"/>
      <c r="Y77" s="185"/>
      <c r="Z77" s="185"/>
      <c r="AA77" s="185"/>
      <c r="AB77" s="185"/>
      <c r="AC77" s="185"/>
      <c r="AD77" s="185"/>
      <c r="AE77" s="185"/>
    </row>
    <row r="78" spans="1:31" x14ac:dyDescent="0.2">
      <c r="A78" s="102"/>
      <c r="B78" s="86"/>
      <c r="C78" s="86"/>
      <c r="D78" s="95"/>
      <c r="E78" s="93"/>
      <c r="F78" s="93"/>
      <c r="G78" s="86"/>
      <c r="H78" s="95"/>
      <c r="I78" s="86"/>
      <c r="J78" s="97"/>
      <c r="K78" s="96"/>
      <c r="L78" s="49"/>
      <c r="M78" s="49"/>
      <c r="N78" s="185"/>
      <c r="O78" s="185"/>
      <c r="P78" s="185"/>
      <c r="Q78" s="185"/>
      <c r="R78" s="185"/>
      <c r="S78" s="185"/>
      <c r="T78" s="185"/>
      <c r="U78" s="185"/>
      <c r="V78" s="185"/>
      <c r="W78" s="185"/>
      <c r="X78" s="185"/>
      <c r="Y78" s="185"/>
      <c r="Z78" s="185"/>
      <c r="AA78" s="185"/>
      <c r="AB78" s="185"/>
      <c r="AC78" s="185"/>
      <c r="AD78" s="185"/>
      <c r="AE78" s="185"/>
    </row>
    <row r="79" spans="1:31" x14ac:dyDescent="0.2">
      <c r="A79" s="102"/>
      <c r="B79" s="86"/>
      <c r="C79" s="86"/>
      <c r="D79" s="95"/>
      <c r="E79" s="93"/>
      <c r="F79" s="93"/>
      <c r="G79" s="86"/>
      <c r="H79" s="95"/>
      <c r="I79" s="86"/>
      <c r="J79" s="97"/>
      <c r="K79" s="96"/>
      <c r="L79" s="49"/>
      <c r="M79" s="49"/>
      <c r="N79" s="185"/>
      <c r="O79" s="185"/>
      <c r="P79" s="185"/>
      <c r="Q79" s="185"/>
      <c r="R79" s="185"/>
      <c r="S79" s="185"/>
      <c r="T79" s="185"/>
      <c r="U79" s="185"/>
      <c r="V79" s="185"/>
      <c r="W79" s="185"/>
      <c r="X79" s="185"/>
      <c r="Y79" s="185"/>
      <c r="Z79" s="185"/>
      <c r="AA79" s="185"/>
      <c r="AB79" s="185"/>
      <c r="AC79" s="185"/>
      <c r="AD79" s="185"/>
      <c r="AE79" s="185"/>
    </row>
    <row r="80" spans="1:31" x14ac:dyDescent="0.2">
      <c r="A80" s="102"/>
      <c r="B80" s="86"/>
      <c r="C80" s="86"/>
      <c r="D80" s="95"/>
      <c r="E80" s="93"/>
      <c r="F80" s="93"/>
      <c r="G80" s="86"/>
      <c r="H80" s="95"/>
      <c r="I80" s="86"/>
      <c r="J80" s="97"/>
      <c r="K80" s="96"/>
      <c r="L80" s="49"/>
      <c r="M80" s="49"/>
      <c r="N80" s="185"/>
      <c r="O80" s="185"/>
      <c r="P80" s="185"/>
      <c r="Q80" s="185"/>
      <c r="R80" s="185"/>
      <c r="S80" s="185"/>
      <c r="T80" s="185"/>
      <c r="U80" s="185"/>
      <c r="V80" s="185"/>
      <c r="W80" s="185"/>
      <c r="X80" s="185"/>
      <c r="Y80" s="185"/>
      <c r="Z80" s="185"/>
      <c r="AA80" s="185"/>
      <c r="AB80" s="185"/>
      <c r="AC80" s="185"/>
      <c r="AD80" s="185"/>
      <c r="AE80" s="185"/>
    </row>
    <row r="81" spans="1:31" x14ac:dyDescent="0.2">
      <c r="A81" s="102"/>
      <c r="B81" s="86"/>
      <c r="C81" s="86"/>
      <c r="D81" s="95"/>
      <c r="E81" s="93"/>
      <c r="F81" s="93"/>
      <c r="G81" s="86"/>
      <c r="H81" s="95"/>
      <c r="I81" s="86"/>
      <c r="J81" s="97"/>
      <c r="K81" s="96"/>
      <c r="L81" s="49"/>
      <c r="M81" s="49"/>
      <c r="N81" s="185"/>
      <c r="O81" s="185"/>
      <c r="P81" s="185"/>
      <c r="Q81" s="185"/>
      <c r="R81" s="185"/>
      <c r="S81" s="185"/>
      <c r="T81" s="185"/>
      <c r="U81" s="185"/>
      <c r="V81" s="185"/>
      <c r="W81" s="185"/>
      <c r="X81" s="185"/>
      <c r="Y81" s="185"/>
      <c r="Z81" s="185"/>
      <c r="AA81" s="185"/>
      <c r="AB81" s="185"/>
      <c r="AC81" s="185"/>
      <c r="AD81" s="185"/>
      <c r="AE81" s="185"/>
    </row>
    <row r="82" spans="1:31" x14ac:dyDescent="0.2">
      <c r="A82" s="102"/>
      <c r="B82" s="86"/>
      <c r="C82" s="86"/>
      <c r="D82" s="95"/>
      <c r="E82" s="93"/>
      <c r="F82" s="93"/>
      <c r="G82" s="86"/>
      <c r="H82" s="95"/>
      <c r="I82" s="86"/>
      <c r="J82" s="97"/>
      <c r="K82" s="96"/>
      <c r="L82" s="49"/>
      <c r="M82" s="49"/>
      <c r="N82" s="185"/>
      <c r="O82" s="185"/>
      <c r="P82" s="185"/>
      <c r="Q82" s="185"/>
      <c r="R82" s="185"/>
      <c r="S82" s="185"/>
      <c r="T82" s="185"/>
      <c r="U82" s="185"/>
      <c r="V82" s="185"/>
      <c r="W82" s="185"/>
      <c r="X82" s="185"/>
      <c r="Y82" s="185"/>
      <c r="Z82" s="185"/>
      <c r="AA82" s="185"/>
      <c r="AB82" s="185"/>
      <c r="AC82" s="185"/>
      <c r="AD82" s="185"/>
      <c r="AE82" s="185"/>
    </row>
    <row r="83" spans="1:31" x14ac:dyDescent="0.2">
      <c r="A83" s="102"/>
      <c r="B83" s="86"/>
      <c r="C83" s="86"/>
      <c r="D83" s="95"/>
      <c r="E83" s="93"/>
      <c r="F83" s="93"/>
      <c r="G83" s="86"/>
      <c r="H83" s="95"/>
      <c r="I83" s="86"/>
      <c r="J83" s="97"/>
      <c r="K83" s="96"/>
      <c r="L83" s="49"/>
      <c r="M83" s="49"/>
      <c r="N83" s="185"/>
      <c r="O83" s="185"/>
      <c r="P83" s="185"/>
      <c r="Q83" s="185"/>
      <c r="R83" s="185"/>
      <c r="S83" s="185"/>
      <c r="T83" s="185"/>
      <c r="U83" s="185"/>
      <c r="V83" s="185"/>
      <c r="W83" s="185"/>
      <c r="X83" s="185"/>
      <c r="Y83" s="185"/>
      <c r="Z83" s="185"/>
      <c r="AA83" s="185"/>
      <c r="AB83" s="185"/>
      <c r="AC83" s="185"/>
      <c r="AD83" s="185"/>
      <c r="AE83" s="185"/>
    </row>
    <row r="84" spans="1:31" x14ac:dyDescent="0.2">
      <c r="A84" s="102"/>
      <c r="B84" s="86"/>
      <c r="C84" s="86"/>
      <c r="D84" s="95"/>
      <c r="E84" s="93"/>
      <c r="F84" s="93"/>
      <c r="G84" s="86"/>
      <c r="H84" s="95"/>
      <c r="I84" s="86"/>
      <c r="J84" s="97"/>
      <c r="K84" s="96"/>
      <c r="L84" s="49"/>
      <c r="M84" s="49"/>
      <c r="N84" s="185"/>
      <c r="O84" s="185"/>
      <c r="P84" s="185"/>
      <c r="Q84" s="185"/>
      <c r="R84" s="185"/>
      <c r="S84" s="185"/>
      <c r="T84" s="185"/>
      <c r="U84" s="185"/>
      <c r="V84" s="185"/>
      <c r="W84" s="185"/>
      <c r="X84" s="185"/>
      <c r="Y84" s="185"/>
      <c r="Z84" s="185"/>
      <c r="AA84" s="185"/>
      <c r="AB84" s="185"/>
      <c r="AC84" s="185"/>
      <c r="AD84" s="185"/>
      <c r="AE84" s="185"/>
    </row>
    <row r="85" spans="1:31" x14ac:dyDescent="0.2">
      <c r="A85" s="102"/>
      <c r="B85" s="86"/>
      <c r="C85" s="86"/>
      <c r="D85" s="95"/>
      <c r="E85" s="93"/>
      <c r="F85" s="93"/>
      <c r="G85" s="86"/>
      <c r="H85" s="95"/>
      <c r="I85" s="86"/>
      <c r="J85" s="97"/>
      <c r="K85" s="96"/>
      <c r="L85" s="49"/>
      <c r="M85" s="49"/>
      <c r="N85" s="185"/>
      <c r="O85" s="185"/>
      <c r="P85" s="185"/>
      <c r="Q85" s="185"/>
      <c r="R85" s="185"/>
      <c r="S85" s="185"/>
      <c r="T85" s="185"/>
      <c r="U85" s="185"/>
      <c r="V85" s="185"/>
      <c r="W85" s="185"/>
      <c r="X85" s="185"/>
      <c r="Y85" s="185"/>
      <c r="Z85" s="185"/>
      <c r="AA85" s="185"/>
      <c r="AB85" s="185"/>
      <c r="AC85" s="185"/>
      <c r="AD85" s="185"/>
      <c r="AE85" s="185"/>
    </row>
    <row r="86" spans="1:31" x14ac:dyDescent="0.2">
      <c r="A86" s="102"/>
      <c r="B86" s="86"/>
      <c r="C86" s="86"/>
      <c r="D86" s="95"/>
      <c r="E86" s="93"/>
      <c r="F86" s="93"/>
      <c r="G86" s="86"/>
      <c r="H86" s="95"/>
      <c r="I86" s="86"/>
      <c r="J86" s="97"/>
      <c r="K86" s="96"/>
      <c r="L86" s="49"/>
      <c r="M86" s="49"/>
      <c r="N86" s="185"/>
      <c r="O86" s="185"/>
      <c r="P86" s="185"/>
      <c r="Q86" s="185"/>
      <c r="R86" s="185"/>
      <c r="S86" s="185"/>
      <c r="T86" s="185"/>
      <c r="U86" s="185"/>
      <c r="V86" s="185"/>
      <c r="W86" s="185"/>
      <c r="X86" s="185"/>
      <c r="Y86" s="185"/>
      <c r="Z86" s="185"/>
      <c r="AA86" s="185"/>
      <c r="AB86" s="185"/>
      <c r="AC86" s="185"/>
      <c r="AD86" s="185"/>
      <c r="AE86" s="185"/>
    </row>
    <row r="87" spans="1:31" x14ac:dyDescent="0.2">
      <c r="A87" s="102"/>
      <c r="B87" s="86"/>
      <c r="C87" s="86"/>
      <c r="D87" s="95"/>
      <c r="E87" s="93"/>
      <c r="F87" s="93"/>
      <c r="G87" s="86"/>
      <c r="H87" s="95"/>
      <c r="I87" s="86"/>
      <c r="J87" s="97"/>
      <c r="K87" s="96"/>
      <c r="L87" s="49"/>
      <c r="M87" s="49"/>
      <c r="N87" s="185"/>
      <c r="O87" s="185"/>
      <c r="P87" s="185"/>
      <c r="Q87" s="185"/>
      <c r="R87" s="185"/>
      <c r="S87" s="185"/>
      <c r="T87" s="185"/>
      <c r="U87" s="185"/>
      <c r="V87" s="185"/>
      <c r="W87" s="185"/>
      <c r="X87" s="185"/>
      <c r="Y87" s="185"/>
      <c r="Z87" s="185"/>
      <c r="AA87" s="185"/>
      <c r="AB87" s="185"/>
      <c r="AC87" s="185"/>
      <c r="AD87" s="185"/>
      <c r="AE87" s="185"/>
    </row>
    <row r="88" spans="1:31" x14ac:dyDescent="0.2">
      <c r="A88" s="102"/>
      <c r="B88" s="86"/>
      <c r="C88" s="86"/>
      <c r="D88" s="95"/>
      <c r="E88" s="93"/>
      <c r="F88" s="93"/>
      <c r="G88" s="86"/>
      <c r="H88" s="95"/>
      <c r="I88" s="86"/>
      <c r="J88" s="97"/>
      <c r="K88" s="96"/>
      <c r="L88" s="49"/>
      <c r="M88" s="49"/>
      <c r="N88" s="185"/>
      <c r="O88" s="185"/>
      <c r="P88" s="185"/>
      <c r="Q88" s="185"/>
      <c r="R88" s="185"/>
      <c r="S88" s="185"/>
      <c r="T88" s="185"/>
      <c r="U88" s="185"/>
      <c r="V88" s="185"/>
      <c r="W88" s="185"/>
      <c r="X88" s="185"/>
      <c r="Y88" s="185"/>
      <c r="Z88" s="185"/>
      <c r="AA88" s="185"/>
      <c r="AB88" s="185"/>
      <c r="AC88" s="185"/>
      <c r="AD88" s="185"/>
      <c r="AE88" s="185"/>
    </row>
    <row r="89" spans="1:31" x14ac:dyDescent="0.2">
      <c r="A89" s="102"/>
      <c r="B89" s="86"/>
      <c r="C89" s="86"/>
      <c r="D89" s="95"/>
      <c r="E89" s="93"/>
      <c r="F89" s="93"/>
      <c r="G89" s="86"/>
      <c r="H89" s="95"/>
      <c r="I89" s="86"/>
      <c r="J89" s="97"/>
      <c r="K89" s="96"/>
      <c r="L89" s="49"/>
      <c r="M89" s="49"/>
      <c r="N89" s="185"/>
      <c r="O89" s="185"/>
      <c r="P89" s="185"/>
      <c r="Q89" s="185"/>
      <c r="R89" s="185"/>
      <c r="S89" s="185"/>
      <c r="T89" s="185"/>
      <c r="U89" s="185"/>
      <c r="V89" s="185"/>
      <c r="W89" s="185"/>
      <c r="X89" s="185"/>
      <c r="Y89" s="185"/>
      <c r="Z89" s="185"/>
      <c r="AA89" s="185"/>
      <c r="AB89" s="185"/>
      <c r="AC89" s="185"/>
      <c r="AD89" s="185"/>
      <c r="AE89" s="185"/>
    </row>
    <row r="90" spans="1:31" x14ac:dyDescent="0.2">
      <c r="A90" s="102"/>
      <c r="B90" s="86"/>
      <c r="C90" s="86"/>
      <c r="D90" s="95"/>
      <c r="E90" s="93"/>
      <c r="F90" s="93"/>
      <c r="G90" s="86"/>
      <c r="H90" s="95"/>
      <c r="I90" s="86"/>
      <c r="J90" s="97"/>
      <c r="K90" s="96"/>
      <c r="L90" s="49"/>
      <c r="M90" s="49"/>
      <c r="N90" s="185"/>
      <c r="O90" s="185"/>
      <c r="P90" s="185"/>
      <c r="Q90" s="185"/>
      <c r="R90" s="185"/>
      <c r="S90" s="185"/>
      <c r="T90" s="185"/>
      <c r="U90" s="185"/>
      <c r="V90" s="185"/>
      <c r="W90" s="185"/>
      <c r="X90" s="185"/>
      <c r="Y90" s="185"/>
      <c r="Z90" s="185"/>
      <c r="AA90" s="185"/>
      <c r="AB90" s="185"/>
      <c r="AC90" s="185"/>
      <c r="AD90" s="185"/>
      <c r="AE90" s="185"/>
    </row>
    <row r="91" spans="1:31" x14ac:dyDescent="0.2">
      <c r="A91" s="102"/>
      <c r="B91" s="86"/>
      <c r="C91" s="86"/>
      <c r="D91" s="95"/>
      <c r="E91" s="93"/>
      <c r="F91" s="93"/>
      <c r="G91" s="86"/>
      <c r="H91" s="95"/>
      <c r="I91" s="86"/>
      <c r="J91" s="97"/>
      <c r="K91" s="96"/>
      <c r="L91" s="49"/>
      <c r="M91" s="49"/>
      <c r="N91" s="185"/>
      <c r="O91" s="185"/>
      <c r="P91" s="185"/>
      <c r="Q91" s="185"/>
      <c r="R91" s="185"/>
      <c r="S91" s="185"/>
      <c r="T91" s="185"/>
      <c r="U91" s="185"/>
      <c r="V91" s="185"/>
      <c r="W91" s="185"/>
      <c r="X91" s="185"/>
      <c r="Y91" s="185"/>
      <c r="Z91" s="185"/>
      <c r="AA91" s="185"/>
      <c r="AB91" s="185"/>
      <c r="AC91" s="185"/>
      <c r="AD91" s="185"/>
      <c r="AE91" s="185"/>
    </row>
    <row r="92" spans="1:31" x14ac:dyDescent="0.2">
      <c r="A92" s="102"/>
      <c r="B92" s="86"/>
      <c r="C92" s="86"/>
      <c r="D92" s="95"/>
      <c r="E92" s="93"/>
      <c r="F92" s="93"/>
      <c r="G92" s="86"/>
      <c r="H92" s="95"/>
      <c r="I92" s="86"/>
      <c r="J92" s="97"/>
      <c r="K92" s="96"/>
      <c r="L92" s="49"/>
      <c r="M92" s="49"/>
      <c r="N92" s="185"/>
      <c r="O92" s="185"/>
      <c r="P92" s="185"/>
      <c r="Q92" s="185"/>
      <c r="R92" s="185"/>
      <c r="S92" s="185"/>
      <c r="T92" s="185"/>
      <c r="U92" s="185"/>
      <c r="V92" s="185"/>
      <c r="W92" s="185"/>
      <c r="X92" s="185"/>
      <c r="Y92" s="185"/>
      <c r="Z92" s="185"/>
      <c r="AA92" s="185"/>
      <c r="AB92" s="185"/>
      <c r="AC92" s="185"/>
      <c r="AD92" s="185"/>
      <c r="AE92" s="185"/>
    </row>
    <row r="93" spans="1:31" x14ac:dyDescent="0.2">
      <c r="A93" s="102"/>
      <c r="B93" s="86"/>
      <c r="C93" s="86"/>
      <c r="D93" s="95"/>
      <c r="E93" s="93"/>
      <c r="F93" s="93"/>
      <c r="G93" s="86"/>
      <c r="H93" s="95"/>
      <c r="I93" s="86"/>
      <c r="J93" s="97"/>
      <c r="K93" s="96"/>
      <c r="L93" s="49"/>
      <c r="M93" s="49"/>
      <c r="N93" s="185"/>
      <c r="O93" s="185"/>
      <c r="P93" s="185"/>
      <c r="Q93" s="185"/>
      <c r="R93" s="185"/>
      <c r="S93" s="185"/>
      <c r="T93" s="185"/>
      <c r="U93" s="185"/>
      <c r="V93" s="185"/>
      <c r="W93" s="185"/>
      <c r="X93" s="185"/>
      <c r="Y93" s="185"/>
      <c r="Z93" s="185"/>
      <c r="AA93" s="185"/>
      <c r="AB93" s="185"/>
      <c r="AC93" s="185"/>
      <c r="AD93" s="185"/>
      <c r="AE93" s="185"/>
    </row>
    <row r="94" spans="1:31" x14ac:dyDescent="0.2">
      <c r="A94" s="102"/>
      <c r="B94" s="86"/>
      <c r="C94" s="86"/>
      <c r="D94" s="95"/>
      <c r="E94" s="93"/>
      <c r="F94" s="93"/>
      <c r="G94" s="86"/>
      <c r="H94" s="95"/>
      <c r="I94" s="86"/>
      <c r="J94" s="97"/>
      <c r="K94" s="96"/>
      <c r="L94" s="49"/>
      <c r="M94" s="49"/>
      <c r="N94" s="185"/>
      <c r="O94" s="185"/>
      <c r="P94" s="185"/>
      <c r="Q94" s="185"/>
      <c r="R94" s="185"/>
      <c r="S94" s="185"/>
      <c r="T94" s="185"/>
      <c r="U94" s="185"/>
      <c r="V94" s="185"/>
      <c r="W94" s="185"/>
      <c r="X94" s="185"/>
      <c r="Y94" s="185"/>
      <c r="Z94" s="185"/>
      <c r="AA94" s="185"/>
      <c r="AB94" s="185"/>
      <c r="AC94" s="185"/>
      <c r="AD94" s="185"/>
      <c r="AE94" s="185"/>
    </row>
    <row r="95" spans="1:31" x14ac:dyDescent="0.2">
      <c r="A95" s="102"/>
      <c r="B95" s="86"/>
      <c r="C95" s="86"/>
      <c r="D95" s="95"/>
      <c r="E95" s="93"/>
      <c r="F95" s="93"/>
      <c r="G95" s="86"/>
      <c r="H95" s="95"/>
      <c r="I95" s="86"/>
      <c r="J95" s="97"/>
      <c r="K95" s="96"/>
      <c r="L95" s="49"/>
      <c r="M95" s="49"/>
      <c r="N95" s="185"/>
      <c r="O95" s="185"/>
      <c r="P95" s="185"/>
      <c r="Q95" s="185"/>
      <c r="R95" s="185"/>
      <c r="S95" s="185"/>
      <c r="T95" s="185"/>
      <c r="U95" s="185"/>
      <c r="V95" s="185"/>
      <c r="W95" s="185"/>
      <c r="X95" s="185"/>
      <c r="Y95" s="185"/>
      <c r="Z95" s="185"/>
      <c r="AA95" s="185"/>
      <c r="AB95" s="185"/>
      <c r="AC95" s="185"/>
      <c r="AD95" s="185"/>
      <c r="AE95" s="185"/>
    </row>
    <row r="96" spans="1:31" x14ac:dyDescent="0.2">
      <c r="A96" s="102"/>
      <c r="B96" s="86"/>
      <c r="C96" s="86"/>
      <c r="D96" s="95"/>
      <c r="E96" s="93"/>
      <c r="F96" s="93"/>
      <c r="G96" s="86"/>
      <c r="H96" s="95"/>
      <c r="I96" s="86"/>
      <c r="J96" s="97"/>
      <c r="K96" s="96"/>
      <c r="L96" s="49"/>
      <c r="M96" s="49"/>
      <c r="N96" s="185"/>
      <c r="O96" s="185"/>
      <c r="P96" s="185"/>
      <c r="Q96" s="185"/>
      <c r="R96" s="185"/>
      <c r="S96" s="185"/>
      <c r="T96" s="185"/>
      <c r="U96" s="185"/>
      <c r="V96" s="185"/>
      <c r="W96" s="185"/>
      <c r="X96" s="185"/>
      <c r="Y96" s="185"/>
      <c r="Z96" s="185"/>
      <c r="AA96" s="185"/>
      <c r="AB96" s="185"/>
      <c r="AC96" s="185"/>
      <c r="AD96" s="185"/>
      <c r="AE96" s="185"/>
    </row>
    <row r="97" spans="1:31" x14ac:dyDescent="0.2">
      <c r="A97" s="102"/>
      <c r="B97" s="86"/>
      <c r="C97" s="86"/>
      <c r="D97" s="95"/>
      <c r="E97" s="93"/>
      <c r="F97" s="93"/>
      <c r="G97" s="86"/>
      <c r="H97" s="95"/>
      <c r="I97" s="86"/>
      <c r="J97" s="97"/>
      <c r="K97" s="96"/>
      <c r="L97" s="49"/>
      <c r="M97" s="49"/>
      <c r="N97" s="185"/>
      <c r="O97" s="185"/>
      <c r="P97" s="185"/>
      <c r="Q97" s="185"/>
      <c r="R97" s="185"/>
      <c r="S97" s="185"/>
      <c r="T97" s="185"/>
      <c r="U97" s="185"/>
      <c r="V97" s="185"/>
      <c r="W97" s="185"/>
      <c r="X97" s="185"/>
      <c r="Y97" s="185"/>
      <c r="Z97" s="185"/>
      <c r="AA97" s="185"/>
      <c r="AB97" s="185"/>
      <c r="AC97" s="185"/>
      <c r="AD97" s="185"/>
      <c r="AE97" s="185"/>
    </row>
    <row r="98" spans="1:31" x14ac:dyDescent="0.2">
      <c r="A98" s="102"/>
      <c r="B98" s="86"/>
      <c r="C98" s="86"/>
      <c r="D98" s="95"/>
      <c r="E98" s="93"/>
      <c r="F98" s="93"/>
      <c r="G98" s="86"/>
      <c r="H98" s="95"/>
      <c r="I98" s="86"/>
      <c r="J98" s="97"/>
      <c r="K98" s="96"/>
      <c r="L98" s="49"/>
      <c r="M98" s="49"/>
      <c r="N98" s="185"/>
      <c r="O98" s="185"/>
      <c r="P98" s="185"/>
      <c r="Q98" s="185"/>
      <c r="R98" s="185"/>
      <c r="S98" s="185"/>
      <c r="T98" s="185"/>
      <c r="U98" s="185"/>
      <c r="V98" s="185"/>
      <c r="W98" s="185"/>
      <c r="X98" s="185"/>
      <c r="Y98" s="185"/>
      <c r="Z98" s="185"/>
      <c r="AA98" s="185"/>
      <c r="AB98" s="185"/>
      <c r="AC98" s="185"/>
      <c r="AD98" s="185"/>
      <c r="AE98" s="185"/>
    </row>
    <row r="99" spans="1:31" x14ac:dyDescent="0.2">
      <c r="A99" s="102"/>
      <c r="B99" s="86"/>
      <c r="C99" s="86"/>
      <c r="D99" s="95"/>
      <c r="E99" s="93"/>
      <c r="F99" s="93"/>
      <c r="G99" s="86"/>
      <c r="H99" s="95"/>
      <c r="I99" s="86"/>
      <c r="J99" s="97"/>
      <c r="K99" s="96"/>
      <c r="L99" s="49"/>
      <c r="M99" s="49"/>
      <c r="N99" s="185"/>
      <c r="O99" s="185"/>
      <c r="P99" s="185"/>
      <c r="Q99" s="185"/>
      <c r="R99" s="185"/>
      <c r="S99" s="185"/>
      <c r="T99" s="185"/>
      <c r="U99" s="185"/>
      <c r="V99" s="185"/>
      <c r="W99" s="185"/>
      <c r="X99" s="185"/>
      <c r="Y99" s="185"/>
      <c r="Z99" s="185"/>
      <c r="AA99" s="185"/>
      <c r="AB99" s="185"/>
      <c r="AC99" s="185"/>
      <c r="AD99" s="185"/>
      <c r="AE99" s="185"/>
    </row>
    <row r="100" spans="1:31" x14ac:dyDescent="0.2">
      <c r="A100" s="102"/>
      <c r="B100" s="86"/>
      <c r="C100" s="86"/>
      <c r="D100" s="95"/>
      <c r="E100" s="93"/>
      <c r="F100" s="93"/>
      <c r="G100" s="86"/>
      <c r="H100" s="95"/>
      <c r="I100" s="86"/>
      <c r="J100" s="97"/>
      <c r="K100" s="96"/>
      <c r="L100" s="49"/>
      <c r="M100" s="49"/>
      <c r="N100" s="185"/>
      <c r="O100" s="185"/>
      <c r="P100" s="185"/>
      <c r="Q100" s="185"/>
      <c r="R100" s="185"/>
      <c r="S100" s="185"/>
      <c r="T100" s="185"/>
      <c r="U100" s="185"/>
      <c r="V100" s="185"/>
      <c r="W100" s="185"/>
      <c r="X100" s="185"/>
      <c r="Y100" s="185"/>
      <c r="Z100" s="185"/>
      <c r="AA100" s="185"/>
      <c r="AB100" s="185"/>
      <c r="AC100" s="185"/>
      <c r="AD100" s="185"/>
      <c r="AE100" s="185"/>
    </row>
    <row r="101" spans="1:31" x14ac:dyDescent="0.2">
      <c r="A101" s="102"/>
      <c r="B101" s="86"/>
      <c r="C101" s="86"/>
      <c r="D101" s="95"/>
      <c r="E101" s="93"/>
      <c r="F101" s="93"/>
      <c r="G101" s="86"/>
      <c r="H101" s="95"/>
      <c r="I101" s="86"/>
      <c r="J101" s="97"/>
      <c r="K101" s="96"/>
      <c r="L101" s="49"/>
      <c r="M101" s="49"/>
      <c r="N101" s="185"/>
      <c r="O101" s="185"/>
      <c r="P101" s="185"/>
      <c r="Q101" s="185"/>
      <c r="R101" s="185"/>
      <c r="S101" s="185"/>
      <c r="T101" s="185"/>
      <c r="U101" s="185"/>
      <c r="V101" s="185"/>
      <c r="W101" s="185"/>
      <c r="X101" s="185"/>
      <c r="Y101" s="185"/>
      <c r="Z101" s="185"/>
      <c r="AA101" s="185"/>
      <c r="AB101" s="185"/>
      <c r="AC101" s="185"/>
      <c r="AD101" s="185"/>
      <c r="AE101" s="185"/>
    </row>
    <row r="102" spans="1:31" x14ac:dyDescent="0.2">
      <c r="A102" s="102"/>
      <c r="B102" s="86"/>
      <c r="C102" s="86"/>
      <c r="D102" s="95"/>
      <c r="E102" s="93"/>
      <c r="F102" s="93"/>
      <c r="G102" s="86"/>
      <c r="H102" s="95"/>
      <c r="I102" s="86"/>
      <c r="J102" s="97"/>
      <c r="K102" s="96"/>
      <c r="L102" s="49"/>
      <c r="M102" s="49"/>
      <c r="N102" s="185"/>
      <c r="O102" s="185"/>
      <c r="P102" s="185"/>
      <c r="Q102" s="185"/>
      <c r="R102" s="185"/>
      <c r="S102" s="185"/>
      <c r="T102" s="185"/>
      <c r="U102" s="185"/>
      <c r="V102" s="185"/>
      <c r="W102" s="185"/>
      <c r="X102" s="185"/>
      <c r="Y102" s="185"/>
      <c r="Z102" s="185"/>
      <c r="AA102" s="185"/>
      <c r="AB102" s="185"/>
      <c r="AC102" s="185"/>
      <c r="AD102" s="185"/>
      <c r="AE102" s="185"/>
    </row>
    <row r="103" spans="1:31" x14ac:dyDescent="0.2">
      <c r="A103" s="102"/>
      <c r="B103" s="86"/>
      <c r="C103" s="86"/>
      <c r="D103" s="95"/>
      <c r="E103" s="93"/>
      <c r="F103" s="93"/>
      <c r="G103" s="86"/>
      <c r="H103" s="95"/>
      <c r="I103" s="86"/>
      <c r="J103" s="97"/>
      <c r="K103" s="96"/>
      <c r="L103" s="49"/>
      <c r="M103" s="49"/>
      <c r="N103" s="185"/>
      <c r="O103" s="185"/>
      <c r="P103" s="185"/>
      <c r="Q103" s="185"/>
      <c r="R103" s="185"/>
      <c r="S103" s="185"/>
      <c r="T103" s="185"/>
      <c r="U103" s="185"/>
      <c r="V103" s="185"/>
      <c r="W103" s="185"/>
      <c r="X103" s="185"/>
      <c r="Y103" s="185"/>
      <c r="Z103" s="185"/>
      <c r="AA103" s="185"/>
      <c r="AB103" s="185"/>
      <c r="AC103" s="185"/>
      <c r="AD103" s="185"/>
      <c r="AE103" s="185"/>
    </row>
    <row r="104" spans="1:31" x14ac:dyDescent="0.2">
      <c r="A104" s="102"/>
      <c r="B104" s="86"/>
      <c r="C104" s="86"/>
      <c r="D104" s="95"/>
      <c r="E104" s="93"/>
      <c r="F104" s="93"/>
      <c r="G104" s="86"/>
      <c r="H104" s="95"/>
      <c r="I104" s="86"/>
      <c r="J104" s="97"/>
      <c r="K104" s="96"/>
      <c r="L104" s="49"/>
      <c r="M104" s="49"/>
      <c r="N104" s="185"/>
      <c r="O104" s="185"/>
      <c r="P104" s="185"/>
      <c r="Q104" s="185"/>
      <c r="R104" s="185"/>
      <c r="S104" s="185"/>
      <c r="T104" s="185"/>
      <c r="U104" s="185"/>
      <c r="V104" s="185"/>
      <c r="W104" s="185"/>
      <c r="X104" s="185"/>
      <c r="Y104" s="185"/>
      <c r="Z104" s="185"/>
      <c r="AA104" s="185"/>
      <c r="AB104" s="185"/>
      <c r="AC104" s="185"/>
      <c r="AD104" s="185"/>
      <c r="AE104" s="185"/>
    </row>
    <row r="105" spans="1:31" x14ac:dyDescent="0.2">
      <c r="A105" s="102"/>
      <c r="B105" s="86"/>
      <c r="C105" s="86"/>
      <c r="D105" s="95"/>
      <c r="E105" s="93"/>
      <c r="F105" s="93"/>
      <c r="G105" s="86"/>
      <c r="H105" s="95"/>
      <c r="I105" s="86"/>
      <c r="J105" s="97"/>
      <c r="K105" s="96"/>
      <c r="L105" s="49"/>
      <c r="M105" s="49"/>
      <c r="N105" s="185"/>
      <c r="O105" s="185"/>
      <c r="P105" s="185"/>
      <c r="Q105" s="185"/>
      <c r="R105" s="185"/>
      <c r="S105" s="185"/>
      <c r="T105" s="185"/>
      <c r="U105" s="185"/>
      <c r="V105" s="185"/>
      <c r="W105" s="185"/>
      <c r="X105" s="185"/>
      <c r="Y105" s="185"/>
      <c r="Z105" s="185"/>
      <c r="AA105" s="185"/>
      <c r="AB105" s="185"/>
      <c r="AC105" s="185"/>
      <c r="AD105" s="185"/>
      <c r="AE105" s="185"/>
    </row>
    <row r="106" spans="1:31" x14ac:dyDescent="0.2">
      <c r="A106" s="102"/>
      <c r="B106" s="86"/>
      <c r="C106" s="86"/>
      <c r="D106" s="95"/>
      <c r="E106" s="93"/>
      <c r="F106" s="93"/>
      <c r="G106" s="86"/>
      <c r="H106" s="95"/>
      <c r="I106" s="86"/>
      <c r="J106" s="97"/>
      <c r="K106" s="96"/>
      <c r="L106" s="49"/>
      <c r="M106" s="49"/>
      <c r="N106" s="185"/>
      <c r="O106" s="185"/>
      <c r="P106" s="185"/>
      <c r="Q106" s="185"/>
      <c r="R106" s="185"/>
      <c r="S106" s="185"/>
      <c r="T106" s="185"/>
      <c r="U106" s="185"/>
      <c r="V106" s="185"/>
      <c r="W106" s="185"/>
      <c r="X106" s="185"/>
      <c r="Y106" s="185"/>
      <c r="Z106" s="185"/>
      <c r="AA106" s="185"/>
      <c r="AB106" s="185"/>
      <c r="AC106" s="185"/>
      <c r="AD106" s="185"/>
      <c r="AE106" s="185"/>
    </row>
    <row r="107" spans="1:31" x14ac:dyDescent="0.2">
      <c r="A107" s="102"/>
      <c r="B107" s="86"/>
      <c r="C107" s="86"/>
      <c r="D107" s="95"/>
      <c r="E107" s="93"/>
      <c r="F107" s="93"/>
      <c r="G107" s="86"/>
      <c r="H107" s="95"/>
      <c r="I107" s="86"/>
      <c r="J107" s="97"/>
      <c r="K107" s="96"/>
      <c r="L107" s="49"/>
      <c r="M107" s="49"/>
      <c r="N107" s="185"/>
      <c r="O107" s="185"/>
      <c r="P107" s="185"/>
      <c r="Q107" s="185"/>
      <c r="R107" s="185"/>
      <c r="S107" s="185"/>
      <c r="T107" s="185"/>
      <c r="U107" s="185"/>
      <c r="V107" s="185"/>
      <c r="W107" s="185"/>
      <c r="X107" s="185"/>
      <c r="Y107" s="185"/>
      <c r="Z107" s="185"/>
      <c r="AA107" s="185"/>
      <c r="AB107" s="185"/>
      <c r="AC107" s="185"/>
      <c r="AD107" s="185"/>
      <c r="AE107" s="185"/>
    </row>
    <row r="108" spans="1:31" x14ac:dyDescent="0.2">
      <c r="A108" s="102"/>
      <c r="B108" s="86"/>
      <c r="C108" s="86"/>
      <c r="D108" s="95"/>
      <c r="E108" s="93"/>
      <c r="F108" s="93"/>
      <c r="G108" s="86"/>
      <c r="H108" s="95"/>
      <c r="I108" s="86"/>
      <c r="J108" s="97"/>
      <c r="K108" s="96"/>
      <c r="L108" s="49"/>
      <c r="M108" s="49"/>
      <c r="N108" s="185"/>
      <c r="O108" s="185"/>
      <c r="P108" s="185"/>
      <c r="Q108" s="185"/>
      <c r="R108" s="185"/>
      <c r="S108" s="185"/>
      <c r="T108" s="185"/>
      <c r="U108" s="185"/>
      <c r="V108" s="185"/>
      <c r="W108" s="185"/>
      <c r="X108" s="185"/>
      <c r="Y108" s="185"/>
      <c r="Z108" s="185"/>
      <c r="AA108" s="185"/>
      <c r="AB108" s="185"/>
      <c r="AC108" s="185"/>
      <c r="AD108" s="185"/>
      <c r="AE108" s="185"/>
    </row>
    <row r="109" spans="1:31" x14ac:dyDescent="0.2">
      <c r="A109" s="102"/>
      <c r="B109" s="86"/>
      <c r="C109" s="86"/>
      <c r="D109" s="95"/>
      <c r="E109" s="93"/>
      <c r="F109" s="93"/>
      <c r="G109" s="86"/>
      <c r="H109" s="95"/>
      <c r="I109" s="86"/>
      <c r="J109" s="97"/>
      <c r="K109" s="96"/>
      <c r="L109" s="49"/>
      <c r="M109" s="49"/>
      <c r="N109" s="185"/>
      <c r="O109" s="185"/>
      <c r="P109" s="185"/>
      <c r="Q109" s="185"/>
      <c r="R109" s="185"/>
      <c r="S109" s="185"/>
      <c r="T109" s="185"/>
      <c r="U109" s="185"/>
      <c r="V109" s="185"/>
      <c r="W109" s="185"/>
      <c r="X109" s="185"/>
      <c r="Y109" s="185"/>
      <c r="Z109" s="185"/>
      <c r="AA109" s="185"/>
      <c r="AB109" s="185"/>
      <c r="AC109" s="185"/>
      <c r="AD109" s="185"/>
      <c r="AE109" s="185"/>
    </row>
    <row r="110" spans="1:31" x14ac:dyDescent="0.2">
      <c r="A110" s="102"/>
      <c r="B110" s="86"/>
      <c r="C110" s="86"/>
      <c r="D110" s="95"/>
      <c r="E110" s="93"/>
      <c r="F110" s="93"/>
      <c r="G110" s="86"/>
      <c r="H110" s="95"/>
      <c r="I110" s="86"/>
      <c r="J110" s="97"/>
      <c r="K110" s="96"/>
      <c r="L110" s="49"/>
      <c r="M110" s="49"/>
      <c r="N110" s="185"/>
      <c r="O110" s="185"/>
      <c r="P110" s="185"/>
      <c r="Q110" s="185"/>
      <c r="R110" s="185"/>
      <c r="S110" s="185"/>
      <c r="T110" s="185"/>
      <c r="U110" s="185"/>
      <c r="V110" s="185"/>
      <c r="W110" s="185"/>
      <c r="X110" s="185"/>
      <c r="Y110" s="185"/>
      <c r="Z110" s="185"/>
      <c r="AA110" s="185"/>
      <c r="AB110" s="185"/>
      <c r="AC110" s="185"/>
      <c r="AD110" s="185"/>
      <c r="AE110" s="185"/>
    </row>
    <row r="111" spans="1:31" x14ac:dyDescent="0.2">
      <c r="A111" s="102"/>
      <c r="B111" s="86"/>
      <c r="C111" s="86"/>
      <c r="D111" s="95"/>
      <c r="E111" s="93"/>
      <c r="F111" s="93"/>
      <c r="G111" s="86"/>
      <c r="H111" s="95"/>
      <c r="I111" s="86"/>
      <c r="J111" s="97"/>
      <c r="K111" s="96"/>
      <c r="L111" s="49"/>
      <c r="M111" s="49"/>
      <c r="N111" s="185"/>
      <c r="O111" s="185"/>
      <c r="P111" s="185"/>
      <c r="Q111" s="185"/>
      <c r="R111" s="185"/>
      <c r="S111" s="185"/>
      <c r="T111" s="185"/>
      <c r="U111" s="185"/>
      <c r="V111" s="185"/>
      <c r="W111" s="185"/>
      <c r="X111" s="185"/>
      <c r="Y111" s="185"/>
      <c r="Z111" s="185"/>
      <c r="AA111" s="185"/>
      <c r="AB111" s="185"/>
      <c r="AC111" s="185"/>
      <c r="AD111" s="185"/>
      <c r="AE111" s="185"/>
    </row>
    <row r="112" spans="1:31" x14ac:dyDescent="0.2">
      <c r="A112" s="102"/>
      <c r="B112" s="86"/>
      <c r="C112" s="86"/>
      <c r="D112" s="95"/>
      <c r="E112" s="93"/>
      <c r="F112" s="93"/>
      <c r="G112" s="86"/>
      <c r="H112" s="95"/>
      <c r="I112" s="86"/>
      <c r="J112" s="97"/>
      <c r="K112" s="96"/>
      <c r="L112" s="49"/>
      <c r="M112" s="49"/>
      <c r="N112" s="185"/>
      <c r="O112" s="185"/>
      <c r="P112" s="185"/>
      <c r="Q112" s="185"/>
      <c r="R112" s="185"/>
      <c r="S112" s="185"/>
      <c r="T112" s="185"/>
      <c r="U112" s="185"/>
      <c r="V112" s="185"/>
      <c r="W112" s="185"/>
      <c r="X112" s="185"/>
      <c r="Y112" s="185"/>
      <c r="Z112" s="185"/>
      <c r="AA112" s="185"/>
      <c r="AB112" s="185"/>
      <c r="AC112" s="185"/>
      <c r="AD112" s="185"/>
      <c r="AE112" s="185"/>
    </row>
    <row r="113" spans="1:31" x14ac:dyDescent="0.2">
      <c r="A113" s="102"/>
      <c r="B113" s="86"/>
      <c r="C113" s="86"/>
      <c r="D113" s="95"/>
      <c r="E113" s="93"/>
      <c r="F113" s="93"/>
      <c r="G113" s="86"/>
      <c r="H113" s="95"/>
      <c r="I113" s="86"/>
      <c r="J113" s="97"/>
      <c r="K113" s="96"/>
      <c r="L113" s="49"/>
      <c r="M113" s="49"/>
      <c r="N113" s="185"/>
      <c r="O113" s="185"/>
      <c r="P113" s="185"/>
      <c r="Q113" s="185"/>
      <c r="R113" s="185"/>
      <c r="S113" s="185"/>
      <c r="T113" s="185"/>
      <c r="U113" s="185"/>
      <c r="V113" s="185"/>
      <c r="W113" s="185"/>
      <c r="X113" s="185"/>
      <c r="Y113" s="185"/>
      <c r="Z113" s="185"/>
      <c r="AA113" s="185"/>
      <c r="AB113" s="185"/>
      <c r="AC113" s="185"/>
      <c r="AD113" s="185"/>
      <c r="AE113" s="185"/>
    </row>
    <row r="114" spans="1:31" x14ac:dyDescent="0.2">
      <c r="A114" s="102"/>
      <c r="B114" s="86"/>
      <c r="C114" s="86"/>
      <c r="D114" s="95"/>
      <c r="E114" s="93"/>
      <c r="F114" s="93"/>
      <c r="G114" s="86"/>
      <c r="H114" s="95"/>
      <c r="I114" s="86"/>
      <c r="J114" s="97"/>
      <c r="K114" s="96"/>
      <c r="L114" s="49"/>
      <c r="M114" s="49"/>
      <c r="N114" s="185"/>
      <c r="O114" s="185"/>
      <c r="P114" s="185"/>
      <c r="Q114" s="185"/>
      <c r="R114" s="185"/>
      <c r="S114" s="185"/>
      <c r="T114" s="185"/>
      <c r="U114" s="185"/>
      <c r="V114" s="185"/>
      <c r="W114" s="185"/>
      <c r="X114" s="185"/>
      <c r="Y114" s="185"/>
      <c r="Z114" s="185"/>
      <c r="AA114" s="185"/>
      <c r="AB114" s="185"/>
      <c r="AC114" s="185"/>
      <c r="AD114" s="185"/>
      <c r="AE114" s="185"/>
    </row>
    <row r="115" spans="1:31" x14ac:dyDescent="0.2">
      <c r="A115" s="102"/>
      <c r="B115" s="86"/>
      <c r="C115" s="86"/>
      <c r="D115" s="95"/>
      <c r="E115" s="93"/>
      <c r="F115" s="93"/>
      <c r="G115" s="86"/>
      <c r="H115" s="95"/>
      <c r="I115" s="86"/>
      <c r="J115" s="97"/>
      <c r="K115" s="96"/>
      <c r="L115" s="49"/>
      <c r="M115" s="49"/>
      <c r="N115" s="185"/>
      <c r="O115" s="185"/>
      <c r="P115" s="185"/>
      <c r="Q115" s="185"/>
      <c r="R115" s="185"/>
      <c r="S115" s="185"/>
      <c r="T115" s="185"/>
      <c r="U115" s="185"/>
      <c r="V115" s="185"/>
      <c r="W115" s="185"/>
      <c r="X115" s="185"/>
      <c r="Y115" s="185"/>
      <c r="Z115" s="185"/>
      <c r="AA115" s="185"/>
      <c r="AB115" s="185"/>
      <c r="AC115" s="185"/>
      <c r="AD115" s="185"/>
      <c r="AE115" s="185"/>
    </row>
    <row r="116" spans="1:31" x14ac:dyDescent="0.2">
      <c r="A116" s="102"/>
      <c r="B116" s="86"/>
      <c r="C116" s="86"/>
      <c r="D116" s="95"/>
      <c r="E116" s="93"/>
      <c r="F116" s="93"/>
      <c r="G116" s="86"/>
      <c r="H116" s="95"/>
      <c r="I116" s="86"/>
      <c r="J116" s="97"/>
      <c r="K116" s="96"/>
      <c r="L116" s="49"/>
      <c r="M116" s="49"/>
      <c r="N116" s="185"/>
      <c r="O116" s="185"/>
      <c r="P116" s="185"/>
      <c r="Q116" s="185"/>
      <c r="R116" s="185"/>
      <c r="S116" s="185"/>
      <c r="T116" s="185"/>
      <c r="U116" s="185"/>
      <c r="V116" s="185"/>
      <c r="W116" s="185"/>
      <c r="X116" s="185"/>
      <c r="Y116" s="185"/>
      <c r="Z116" s="185"/>
      <c r="AA116" s="185"/>
      <c r="AB116" s="185"/>
      <c r="AC116" s="185"/>
      <c r="AD116" s="185"/>
      <c r="AE116" s="185"/>
    </row>
    <row r="117" spans="1:31" x14ac:dyDescent="0.2">
      <c r="A117" s="102"/>
      <c r="B117" s="86"/>
      <c r="C117" s="86"/>
      <c r="D117" s="95"/>
      <c r="E117" s="93"/>
      <c r="F117" s="93"/>
      <c r="G117" s="86"/>
      <c r="H117" s="95"/>
      <c r="I117" s="86"/>
      <c r="J117" s="97"/>
      <c r="K117" s="96"/>
      <c r="L117" s="49"/>
      <c r="M117" s="49"/>
      <c r="N117" s="185"/>
      <c r="O117" s="185"/>
      <c r="P117" s="185"/>
      <c r="Q117" s="185"/>
      <c r="R117" s="185"/>
      <c r="S117" s="185"/>
      <c r="T117" s="185"/>
      <c r="U117" s="185"/>
      <c r="V117" s="185"/>
      <c r="W117" s="185"/>
      <c r="X117" s="185"/>
      <c r="Y117" s="185"/>
      <c r="Z117" s="185"/>
      <c r="AA117" s="185"/>
      <c r="AB117" s="185"/>
      <c r="AC117" s="185"/>
      <c r="AD117" s="185"/>
      <c r="AE117" s="185"/>
    </row>
    <row r="118" spans="1:31" x14ac:dyDescent="0.2">
      <c r="A118" s="102"/>
      <c r="B118" s="86"/>
      <c r="C118" s="86"/>
      <c r="D118" s="95"/>
      <c r="E118" s="93"/>
      <c r="F118" s="93"/>
      <c r="G118" s="86"/>
      <c r="H118" s="95"/>
      <c r="I118" s="86"/>
      <c r="J118" s="97"/>
      <c r="K118" s="96"/>
      <c r="L118" s="49"/>
      <c r="M118" s="49"/>
      <c r="N118" s="185"/>
      <c r="O118" s="185"/>
      <c r="P118" s="185"/>
      <c r="Q118" s="185"/>
      <c r="R118" s="185"/>
      <c r="S118" s="185"/>
      <c r="T118" s="185"/>
      <c r="U118" s="185"/>
      <c r="V118" s="185"/>
      <c r="W118" s="185"/>
      <c r="X118" s="185"/>
      <c r="Y118" s="185"/>
      <c r="Z118" s="185"/>
      <c r="AA118" s="185"/>
      <c r="AB118" s="185"/>
      <c r="AC118" s="185"/>
      <c r="AD118" s="185"/>
      <c r="AE118" s="185"/>
    </row>
    <row r="119" spans="1:31" x14ac:dyDescent="0.2">
      <c r="A119" s="102"/>
      <c r="B119" s="86"/>
      <c r="C119" s="86"/>
      <c r="D119" s="95"/>
      <c r="E119" s="93"/>
      <c r="F119" s="93"/>
      <c r="G119" s="86"/>
      <c r="H119" s="95"/>
      <c r="I119" s="86"/>
      <c r="J119" s="97"/>
      <c r="K119" s="96"/>
      <c r="L119" s="49"/>
      <c r="M119" s="49"/>
      <c r="N119" s="185"/>
      <c r="O119" s="185"/>
      <c r="P119" s="185"/>
      <c r="Q119" s="185"/>
      <c r="R119" s="185"/>
      <c r="S119" s="185"/>
      <c r="T119" s="185"/>
      <c r="U119" s="185"/>
      <c r="V119" s="185"/>
      <c r="W119" s="185"/>
      <c r="X119" s="185"/>
      <c r="Y119" s="185"/>
      <c r="Z119" s="185"/>
      <c r="AA119" s="185"/>
      <c r="AB119" s="185"/>
      <c r="AC119" s="185"/>
      <c r="AD119" s="185"/>
      <c r="AE119" s="185"/>
    </row>
    <row r="120" spans="1:31" x14ac:dyDescent="0.2">
      <c r="A120" s="102"/>
      <c r="B120" s="86"/>
      <c r="C120" s="86"/>
      <c r="D120" s="95"/>
      <c r="E120" s="93"/>
      <c r="F120" s="93"/>
      <c r="G120" s="86"/>
      <c r="H120" s="95"/>
      <c r="I120" s="86"/>
      <c r="J120" s="97"/>
      <c r="K120" s="96"/>
      <c r="L120" s="49"/>
      <c r="M120" s="49"/>
      <c r="N120" s="185"/>
      <c r="O120" s="185"/>
      <c r="P120" s="185"/>
      <c r="Q120" s="185"/>
      <c r="R120" s="185"/>
      <c r="S120" s="185"/>
      <c r="T120" s="185"/>
      <c r="U120" s="185"/>
      <c r="V120" s="185"/>
      <c r="W120" s="185"/>
      <c r="X120" s="185"/>
      <c r="Y120" s="185"/>
      <c r="Z120" s="185"/>
      <c r="AA120" s="185"/>
      <c r="AB120" s="185"/>
      <c r="AC120" s="185"/>
      <c r="AD120" s="185"/>
      <c r="AE120" s="185"/>
    </row>
    <row r="121" spans="1:31" x14ac:dyDescent="0.2">
      <c r="A121" s="102"/>
      <c r="B121" s="86"/>
      <c r="C121" s="86"/>
      <c r="D121" s="95"/>
      <c r="E121" s="93"/>
      <c r="F121" s="93"/>
      <c r="G121" s="86"/>
      <c r="H121" s="95"/>
      <c r="I121" s="86"/>
      <c r="J121" s="97"/>
      <c r="K121" s="96"/>
      <c r="L121" s="49"/>
      <c r="M121" s="49"/>
      <c r="N121" s="185"/>
      <c r="O121" s="185"/>
      <c r="P121" s="185"/>
      <c r="Q121" s="185"/>
      <c r="R121" s="185"/>
      <c r="S121" s="185"/>
      <c r="T121" s="185"/>
      <c r="U121" s="185"/>
      <c r="V121" s="185"/>
      <c r="W121" s="185"/>
      <c r="X121" s="185"/>
      <c r="Y121" s="185"/>
      <c r="Z121" s="185"/>
      <c r="AA121" s="185"/>
      <c r="AB121" s="185"/>
      <c r="AC121" s="185"/>
      <c r="AD121" s="185"/>
      <c r="AE121" s="185"/>
    </row>
    <row r="122" spans="1:31" x14ac:dyDescent="0.2">
      <c r="A122" s="102"/>
      <c r="B122" s="86"/>
      <c r="C122" s="86"/>
      <c r="D122" s="95"/>
      <c r="E122" s="93"/>
      <c r="F122" s="93"/>
      <c r="G122" s="86"/>
      <c r="H122" s="95"/>
      <c r="I122" s="86"/>
      <c r="J122" s="97"/>
      <c r="K122" s="96"/>
      <c r="L122" s="49"/>
      <c r="M122" s="49"/>
      <c r="N122" s="185"/>
      <c r="O122" s="185"/>
      <c r="P122" s="185"/>
      <c r="Q122" s="185"/>
      <c r="R122" s="185"/>
      <c r="S122" s="185"/>
      <c r="T122" s="185"/>
      <c r="U122" s="185"/>
      <c r="V122" s="185"/>
      <c r="W122" s="185"/>
      <c r="X122" s="185"/>
      <c r="Y122" s="185"/>
      <c r="Z122" s="185"/>
      <c r="AA122" s="185"/>
      <c r="AB122" s="185"/>
      <c r="AC122" s="185"/>
      <c r="AD122" s="185"/>
      <c r="AE122" s="185"/>
    </row>
    <row r="123" spans="1:31" x14ac:dyDescent="0.2">
      <c r="A123" s="102"/>
      <c r="B123" s="86"/>
      <c r="C123" s="86"/>
      <c r="D123" s="95"/>
      <c r="E123" s="93"/>
      <c r="F123" s="93"/>
      <c r="G123" s="86"/>
      <c r="H123" s="95"/>
      <c r="I123" s="86"/>
      <c r="J123" s="97"/>
      <c r="K123" s="96"/>
      <c r="L123" s="49"/>
      <c r="M123" s="49"/>
      <c r="N123" s="185"/>
      <c r="O123" s="185"/>
      <c r="P123" s="185"/>
      <c r="Q123" s="185"/>
      <c r="R123" s="185"/>
      <c r="S123" s="185"/>
      <c r="T123" s="185"/>
      <c r="U123" s="185"/>
      <c r="V123" s="185"/>
      <c r="W123" s="185"/>
      <c r="X123" s="185"/>
      <c r="Y123" s="185"/>
      <c r="Z123" s="185"/>
      <c r="AA123" s="185"/>
      <c r="AB123" s="185"/>
      <c r="AC123" s="185"/>
      <c r="AD123" s="185"/>
      <c r="AE123" s="185"/>
    </row>
    <row r="124" spans="1:31" x14ac:dyDescent="0.2">
      <c r="A124" s="102"/>
      <c r="B124" s="86"/>
      <c r="C124" s="86"/>
      <c r="D124" s="95"/>
      <c r="E124" s="93"/>
      <c r="F124" s="93"/>
      <c r="G124" s="86"/>
      <c r="H124" s="95"/>
      <c r="I124" s="86"/>
      <c r="J124" s="97"/>
      <c r="K124" s="96"/>
      <c r="L124" s="49"/>
      <c r="M124" s="49"/>
      <c r="N124" s="185"/>
      <c r="O124" s="185"/>
      <c r="P124" s="185"/>
      <c r="Q124" s="185"/>
      <c r="R124" s="185"/>
      <c r="S124" s="185"/>
      <c r="T124" s="185"/>
      <c r="U124" s="185"/>
      <c r="V124" s="185"/>
      <c r="W124" s="185"/>
      <c r="X124" s="185"/>
      <c r="Y124" s="185"/>
      <c r="Z124" s="185"/>
      <c r="AA124" s="185"/>
      <c r="AB124" s="185"/>
      <c r="AC124" s="185"/>
      <c r="AD124" s="185"/>
      <c r="AE124" s="185"/>
    </row>
    <row r="125" spans="1:31" x14ac:dyDescent="0.2">
      <c r="A125" s="102"/>
      <c r="B125" s="86"/>
      <c r="C125" s="86"/>
      <c r="D125" s="95"/>
      <c r="E125" s="93"/>
      <c r="F125" s="93"/>
      <c r="G125" s="86"/>
      <c r="H125" s="95"/>
      <c r="I125" s="86"/>
      <c r="J125" s="97"/>
      <c r="K125" s="96"/>
      <c r="L125" s="49"/>
      <c r="M125" s="49"/>
      <c r="N125" s="185"/>
      <c r="O125" s="185"/>
      <c r="P125" s="185"/>
      <c r="Q125" s="185"/>
      <c r="R125" s="185"/>
      <c r="S125" s="185"/>
      <c r="T125" s="185"/>
      <c r="U125" s="185"/>
      <c r="V125" s="185"/>
      <c r="W125" s="185"/>
      <c r="X125" s="185"/>
      <c r="Y125" s="185"/>
      <c r="Z125" s="185"/>
      <c r="AA125" s="185"/>
      <c r="AB125" s="185"/>
      <c r="AC125" s="185"/>
      <c r="AD125" s="185"/>
      <c r="AE125" s="185"/>
    </row>
    <row r="126" spans="1:31" x14ac:dyDescent="0.2">
      <c r="A126" s="102"/>
      <c r="B126" s="86"/>
      <c r="C126" s="86"/>
      <c r="D126" s="95"/>
      <c r="E126" s="93"/>
      <c r="F126" s="93"/>
      <c r="G126" s="86"/>
      <c r="H126" s="95"/>
      <c r="I126" s="86"/>
      <c r="J126" s="97"/>
      <c r="K126" s="96"/>
      <c r="L126" s="49"/>
      <c r="M126" s="49"/>
      <c r="N126" s="185"/>
      <c r="O126" s="185"/>
      <c r="P126" s="185"/>
      <c r="Q126" s="185"/>
      <c r="R126" s="185"/>
      <c r="S126" s="185"/>
      <c r="T126" s="185"/>
      <c r="U126" s="185"/>
      <c r="V126" s="185"/>
      <c r="W126" s="185"/>
      <c r="X126" s="185"/>
      <c r="Y126" s="185"/>
      <c r="Z126" s="185"/>
      <c r="AA126" s="185"/>
      <c r="AB126" s="185"/>
      <c r="AC126" s="185"/>
      <c r="AD126" s="185"/>
      <c r="AE126" s="185"/>
    </row>
    <row r="127" spans="1:31" x14ac:dyDescent="0.2">
      <c r="A127" s="102"/>
      <c r="B127" s="86"/>
      <c r="C127" s="86"/>
      <c r="D127" s="95"/>
      <c r="E127" s="93"/>
      <c r="F127" s="93"/>
      <c r="G127" s="86"/>
      <c r="H127" s="95"/>
      <c r="I127" s="86"/>
      <c r="J127" s="97"/>
      <c r="K127" s="96"/>
      <c r="L127" s="49"/>
      <c r="M127" s="49"/>
      <c r="N127" s="185"/>
      <c r="O127" s="185"/>
      <c r="P127" s="185"/>
      <c r="Q127" s="185"/>
      <c r="R127" s="185"/>
      <c r="S127" s="185"/>
      <c r="T127" s="185"/>
      <c r="U127" s="185"/>
      <c r="V127" s="185"/>
      <c r="W127" s="185"/>
      <c r="X127" s="185"/>
      <c r="Y127" s="185"/>
      <c r="Z127" s="185"/>
      <c r="AA127" s="185"/>
      <c r="AB127" s="185"/>
      <c r="AC127" s="185"/>
      <c r="AD127" s="185"/>
      <c r="AE127" s="185"/>
    </row>
    <row r="128" spans="1:31" x14ac:dyDescent="0.2">
      <c r="A128" s="102"/>
      <c r="B128" s="86"/>
      <c r="C128" s="86"/>
      <c r="D128" s="95"/>
      <c r="E128" s="93"/>
      <c r="F128" s="93"/>
      <c r="G128" s="86"/>
      <c r="H128" s="95"/>
      <c r="I128" s="86"/>
      <c r="J128" s="97"/>
      <c r="K128" s="96"/>
      <c r="L128" s="49"/>
      <c r="M128" s="49"/>
      <c r="N128" s="185"/>
      <c r="O128" s="185"/>
      <c r="P128" s="185"/>
      <c r="Q128" s="185"/>
      <c r="R128" s="185"/>
      <c r="S128" s="185"/>
      <c r="T128" s="185"/>
      <c r="U128" s="185"/>
      <c r="V128" s="185"/>
      <c r="W128" s="185"/>
      <c r="X128" s="185"/>
      <c r="Y128" s="185"/>
      <c r="Z128" s="185"/>
      <c r="AA128" s="185"/>
      <c r="AB128" s="185"/>
      <c r="AC128" s="185"/>
      <c r="AD128" s="185"/>
      <c r="AE128" s="185"/>
    </row>
    <row r="129" spans="1:31" x14ac:dyDescent="0.2">
      <c r="A129" s="102"/>
      <c r="B129" s="86"/>
      <c r="C129" s="86"/>
      <c r="D129" s="95"/>
      <c r="E129" s="93"/>
      <c r="F129" s="93"/>
      <c r="G129" s="86"/>
      <c r="H129" s="95"/>
      <c r="I129" s="86"/>
      <c r="J129" s="97"/>
      <c r="K129" s="96"/>
      <c r="L129" s="49"/>
      <c r="M129" s="49"/>
      <c r="N129" s="185"/>
      <c r="O129" s="185"/>
      <c r="P129" s="185"/>
      <c r="Q129" s="185"/>
      <c r="R129" s="185"/>
      <c r="S129" s="185"/>
      <c r="T129" s="185"/>
      <c r="U129" s="185"/>
      <c r="V129" s="185"/>
      <c r="W129" s="185"/>
      <c r="X129" s="185"/>
      <c r="Y129" s="185"/>
      <c r="Z129" s="185"/>
      <c r="AA129" s="185"/>
      <c r="AB129" s="185"/>
      <c r="AC129" s="185"/>
      <c r="AD129" s="185"/>
      <c r="AE129" s="185"/>
    </row>
    <row r="130" spans="1:31" x14ac:dyDescent="0.2">
      <c r="A130" s="102"/>
      <c r="B130" s="86"/>
      <c r="C130" s="86"/>
      <c r="D130" s="95"/>
      <c r="E130" s="93"/>
      <c r="F130" s="93"/>
      <c r="G130" s="86"/>
      <c r="H130" s="95"/>
      <c r="I130" s="86"/>
      <c r="J130" s="97"/>
      <c r="K130" s="96"/>
      <c r="L130" s="49"/>
      <c r="M130" s="49"/>
      <c r="N130" s="185"/>
      <c r="O130" s="185"/>
      <c r="P130" s="185"/>
      <c r="Q130" s="185"/>
      <c r="R130" s="185"/>
      <c r="S130" s="185"/>
      <c r="T130" s="185"/>
      <c r="U130" s="185"/>
      <c r="V130" s="185"/>
      <c r="W130" s="185"/>
      <c r="X130" s="185"/>
      <c r="Y130" s="185"/>
      <c r="Z130" s="185"/>
      <c r="AA130" s="185"/>
      <c r="AB130" s="185"/>
      <c r="AC130" s="185"/>
      <c r="AD130" s="185"/>
      <c r="AE130" s="185"/>
    </row>
    <row r="131" spans="1:31" x14ac:dyDescent="0.2">
      <c r="A131" s="102"/>
      <c r="B131" s="86"/>
      <c r="C131" s="86"/>
      <c r="D131" s="95"/>
      <c r="E131" s="93"/>
      <c r="F131" s="93"/>
      <c r="G131" s="86"/>
      <c r="H131" s="95"/>
      <c r="I131" s="86"/>
      <c r="J131" s="97"/>
      <c r="K131" s="96"/>
      <c r="L131" s="49"/>
      <c r="M131" s="49"/>
      <c r="N131" s="185"/>
      <c r="O131" s="185"/>
      <c r="P131" s="185"/>
      <c r="Q131" s="185"/>
      <c r="R131" s="185"/>
      <c r="S131" s="185"/>
      <c r="T131" s="185"/>
      <c r="U131" s="185"/>
      <c r="V131" s="185"/>
      <c r="W131" s="185"/>
      <c r="X131" s="185"/>
      <c r="Y131" s="185"/>
      <c r="Z131" s="185"/>
      <c r="AA131" s="185"/>
      <c r="AB131" s="185"/>
      <c r="AC131" s="185"/>
      <c r="AD131" s="185"/>
      <c r="AE131" s="185"/>
    </row>
    <row r="132" spans="1:31" x14ac:dyDescent="0.2">
      <c r="A132" s="102"/>
      <c r="B132" s="86"/>
      <c r="C132" s="86"/>
      <c r="D132" s="95"/>
      <c r="E132" s="93"/>
      <c r="F132" s="93"/>
      <c r="G132" s="86"/>
      <c r="H132" s="95"/>
      <c r="I132" s="86"/>
      <c r="J132" s="97"/>
      <c r="K132" s="96"/>
      <c r="L132" s="49"/>
      <c r="M132" s="49"/>
      <c r="N132" s="185"/>
      <c r="O132" s="185"/>
      <c r="P132" s="185"/>
      <c r="Q132" s="185"/>
      <c r="R132" s="185"/>
      <c r="S132" s="185"/>
      <c r="T132" s="185"/>
      <c r="U132" s="185"/>
      <c r="V132" s="185"/>
      <c r="W132" s="185"/>
      <c r="X132" s="185"/>
      <c r="Y132" s="185"/>
      <c r="Z132" s="185"/>
      <c r="AA132" s="185"/>
      <c r="AB132" s="185"/>
      <c r="AC132" s="185"/>
      <c r="AD132" s="185"/>
      <c r="AE132" s="185"/>
    </row>
    <row r="133" spans="1:31" x14ac:dyDescent="0.2">
      <c r="A133" s="102"/>
      <c r="B133" s="86"/>
      <c r="C133" s="86"/>
      <c r="D133" s="95"/>
      <c r="E133" s="93"/>
      <c r="F133" s="93"/>
      <c r="G133" s="86"/>
      <c r="H133" s="95"/>
      <c r="I133" s="86"/>
      <c r="J133" s="97"/>
      <c r="K133" s="96"/>
      <c r="L133" s="49"/>
      <c r="M133" s="49"/>
      <c r="N133" s="185"/>
      <c r="O133" s="185"/>
      <c r="P133" s="185"/>
      <c r="Q133" s="185"/>
      <c r="R133" s="185"/>
      <c r="S133" s="185"/>
      <c r="T133" s="185"/>
      <c r="U133" s="185"/>
      <c r="V133" s="185"/>
      <c r="W133" s="185"/>
      <c r="X133" s="185"/>
      <c r="Y133" s="185"/>
      <c r="Z133" s="185"/>
      <c r="AA133" s="185"/>
      <c r="AB133" s="185"/>
      <c r="AC133" s="185"/>
      <c r="AD133" s="185"/>
      <c r="AE133" s="185"/>
    </row>
    <row r="134" spans="1:31" x14ac:dyDescent="0.2">
      <c r="A134" s="102"/>
      <c r="B134" s="86"/>
      <c r="C134" s="86"/>
      <c r="D134" s="95"/>
      <c r="E134" s="93"/>
      <c r="F134" s="93"/>
      <c r="G134" s="86"/>
      <c r="H134" s="95"/>
      <c r="I134" s="86"/>
      <c r="J134" s="97"/>
      <c r="K134" s="96"/>
      <c r="L134" s="49"/>
      <c r="M134" s="49"/>
      <c r="N134" s="185"/>
      <c r="O134" s="185"/>
      <c r="P134" s="185"/>
      <c r="Q134" s="185"/>
      <c r="R134" s="185"/>
      <c r="S134" s="185"/>
      <c r="T134" s="185"/>
      <c r="U134" s="185"/>
      <c r="V134" s="185"/>
      <c r="W134" s="185"/>
      <c r="X134" s="185"/>
      <c r="Y134" s="185"/>
      <c r="Z134" s="185"/>
      <c r="AA134" s="185"/>
      <c r="AB134" s="185"/>
      <c r="AC134" s="185"/>
      <c r="AD134" s="185"/>
      <c r="AE134" s="185"/>
    </row>
    <row r="135" spans="1:31" x14ac:dyDescent="0.2">
      <c r="A135" s="102"/>
      <c r="B135" s="86"/>
      <c r="C135" s="86"/>
      <c r="D135" s="95"/>
      <c r="E135" s="93"/>
      <c r="F135" s="93"/>
      <c r="G135" s="86"/>
      <c r="H135" s="95"/>
      <c r="I135" s="86"/>
      <c r="J135" s="97"/>
      <c r="K135" s="96"/>
      <c r="L135" s="49"/>
      <c r="M135" s="49"/>
      <c r="N135" s="185"/>
      <c r="O135" s="185"/>
      <c r="P135" s="185"/>
      <c r="Q135" s="185"/>
      <c r="R135" s="185"/>
      <c r="S135" s="185"/>
      <c r="T135" s="185"/>
      <c r="U135" s="185"/>
      <c r="V135" s="185"/>
      <c r="W135" s="185"/>
      <c r="X135" s="185"/>
      <c r="Y135" s="185"/>
      <c r="Z135" s="185"/>
      <c r="AA135" s="185"/>
      <c r="AB135" s="185"/>
      <c r="AC135" s="185"/>
      <c r="AD135" s="185"/>
      <c r="AE135" s="185"/>
    </row>
    <row r="136" spans="1:31" x14ac:dyDescent="0.2">
      <c r="A136" s="103"/>
      <c r="B136" s="107"/>
      <c r="C136" s="107"/>
      <c r="D136" s="108"/>
      <c r="E136" s="109"/>
      <c r="F136" s="109"/>
      <c r="G136" s="107"/>
      <c r="H136" s="108"/>
      <c r="I136" s="107"/>
      <c r="J136" s="110"/>
      <c r="K136" s="111"/>
      <c r="L136" s="112"/>
      <c r="M136" s="112"/>
      <c r="N136" s="185"/>
      <c r="O136" s="185"/>
      <c r="P136" s="185"/>
      <c r="Q136" s="185"/>
      <c r="R136" s="185"/>
      <c r="S136" s="185"/>
      <c r="T136" s="185"/>
      <c r="U136" s="185"/>
      <c r="V136" s="185"/>
      <c r="W136" s="185"/>
      <c r="X136" s="185"/>
      <c r="Y136" s="185"/>
      <c r="Z136" s="185"/>
      <c r="AA136" s="185"/>
      <c r="AB136" s="185"/>
      <c r="AC136" s="185"/>
      <c r="AD136" s="185"/>
      <c r="AE136" s="185"/>
    </row>
    <row r="137" spans="1:31" x14ac:dyDescent="0.2">
      <c r="A137" s="103"/>
      <c r="B137" s="107"/>
      <c r="C137" s="107"/>
      <c r="D137" s="108"/>
      <c r="E137" s="109"/>
      <c r="F137" s="109"/>
      <c r="G137" s="107"/>
      <c r="H137" s="108"/>
      <c r="I137" s="107"/>
      <c r="J137" s="110"/>
      <c r="K137" s="111"/>
      <c r="L137" s="112"/>
      <c r="M137" s="112"/>
      <c r="N137" s="185"/>
      <c r="O137" s="185"/>
      <c r="P137" s="185"/>
      <c r="Q137" s="185"/>
      <c r="R137" s="185"/>
      <c r="S137" s="185"/>
      <c r="T137" s="185"/>
      <c r="U137" s="185"/>
      <c r="V137" s="185"/>
      <c r="W137" s="185"/>
      <c r="X137" s="185"/>
      <c r="Y137" s="185"/>
      <c r="Z137" s="185"/>
      <c r="AA137" s="185"/>
      <c r="AB137" s="185"/>
      <c r="AC137" s="185"/>
      <c r="AD137" s="185"/>
      <c r="AE137" s="185"/>
    </row>
    <row r="138" spans="1:31" x14ac:dyDescent="0.2">
      <c r="A138" s="103"/>
      <c r="B138" s="107"/>
      <c r="C138" s="107"/>
      <c r="D138" s="108"/>
      <c r="E138" s="109"/>
      <c r="F138" s="109"/>
      <c r="G138" s="107"/>
      <c r="H138" s="108"/>
      <c r="I138" s="107"/>
      <c r="J138" s="110"/>
      <c r="K138" s="111"/>
      <c r="L138" s="112"/>
      <c r="M138" s="112"/>
      <c r="N138" s="185"/>
      <c r="O138" s="185"/>
      <c r="P138" s="185"/>
      <c r="Q138" s="185"/>
      <c r="R138" s="185"/>
      <c r="S138" s="185"/>
      <c r="T138" s="185"/>
      <c r="U138" s="185"/>
      <c r="V138" s="185"/>
      <c r="W138" s="185"/>
      <c r="X138" s="185"/>
      <c r="Y138" s="185"/>
      <c r="Z138" s="185"/>
      <c r="AA138" s="185"/>
      <c r="AB138" s="185"/>
      <c r="AC138" s="185"/>
      <c r="AD138" s="185"/>
      <c r="AE138" s="185"/>
    </row>
    <row r="139" spans="1:31" x14ac:dyDescent="0.2">
      <c r="A139" s="103"/>
      <c r="B139" s="107"/>
      <c r="C139" s="107"/>
      <c r="D139" s="108"/>
      <c r="E139" s="109"/>
      <c r="F139" s="109"/>
      <c r="G139" s="107"/>
      <c r="H139" s="108"/>
      <c r="I139" s="107"/>
      <c r="J139" s="110"/>
      <c r="K139" s="111"/>
      <c r="L139" s="112"/>
      <c r="M139" s="112"/>
      <c r="N139" s="185"/>
      <c r="O139" s="185"/>
      <c r="P139" s="185"/>
      <c r="Q139" s="185"/>
      <c r="R139" s="185"/>
      <c r="S139" s="185"/>
      <c r="T139" s="185"/>
      <c r="U139" s="185"/>
      <c r="V139" s="185"/>
      <c r="W139" s="185"/>
      <c r="X139" s="185"/>
      <c r="Y139" s="185"/>
      <c r="Z139" s="185"/>
      <c r="AA139" s="185"/>
      <c r="AB139" s="185"/>
      <c r="AC139" s="185"/>
      <c r="AD139" s="185"/>
      <c r="AE139" s="185"/>
    </row>
    <row r="140" spans="1:31" x14ac:dyDescent="0.2">
      <c r="A140" s="103"/>
      <c r="B140" s="107"/>
      <c r="C140" s="107"/>
      <c r="D140" s="108"/>
      <c r="E140" s="109"/>
      <c r="F140" s="109"/>
      <c r="G140" s="107"/>
      <c r="H140" s="108"/>
      <c r="I140" s="107"/>
      <c r="J140" s="110"/>
      <c r="K140" s="111"/>
      <c r="L140" s="112"/>
      <c r="M140" s="112"/>
      <c r="N140" s="185"/>
      <c r="O140" s="185"/>
      <c r="P140" s="185"/>
      <c r="Q140" s="185"/>
      <c r="R140" s="185"/>
      <c r="S140" s="185"/>
      <c r="T140" s="185"/>
      <c r="U140" s="185"/>
      <c r="V140" s="185"/>
      <c r="W140" s="185"/>
      <c r="X140" s="185"/>
      <c r="Y140" s="185"/>
      <c r="Z140" s="185"/>
      <c r="AA140" s="185"/>
      <c r="AB140" s="185"/>
      <c r="AC140" s="185"/>
      <c r="AD140" s="185"/>
      <c r="AE140" s="185"/>
    </row>
    <row r="141" spans="1:31" x14ac:dyDescent="0.2">
      <c r="A141" s="103"/>
      <c r="B141" s="107"/>
      <c r="C141" s="107"/>
      <c r="D141" s="108"/>
      <c r="E141" s="109"/>
      <c r="F141" s="109"/>
      <c r="G141" s="107"/>
      <c r="H141" s="108"/>
      <c r="I141" s="107"/>
      <c r="J141" s="110"/>
      <c r="K141" s="111"/>
      <c r="L141" s="112"/>
      <c r="M141" s="112"/>
      <c r="N141" s="185"/>
      <c r="O141" s="185"/>
      <c r="P141" s="185"/>
      <c r="Q141" s="185"/>
      <c r="R141" s="185"/>
      <c r="S141" s="185"/>
      <c r="T141" s="185"/>
      <c r="U141" s="185"/>
      <c r="V141" s="185"/>
      <c r="W141" s="185"/>
      <c r="X141" s="185"/>
      <c r="Y141" s="185"/>
      <c r="Z141" s="185"/>
      <c r="AA141" s="185"/>
      <c r="AB141" s="185"/>
      <c r="AC141" s="185"/>
      <c r="AD141" s="185"/>
      <c r="AE141" s="185"/>
    </row>
    <row r="142" spans="1:31" x14ac:dyDescent="0.2">
      <c r="A142" s="103"/>
      <c r="B142" s="107"/>
      <c r="C142" s="107"/>
      <c r="D142" s="108"/>
      <c r="E142" s="109"/>
      <c r="F142" s="109"/>
      <c r="G142" s="107"/>
      <c r="H142" s="108"/>
      <c r="I142" s="107"/>
      <c r="J142" s="110"/>
      <c r="K142" s="111"/>
      <c r="L142" s="112"/>
      <c r="M142" s="112"/>
      <c r="N142" s="185"/>
      <c r="O142" s="185"/>
      <c r="P142" s="185"/>
      <c r="Q142" s="185"/>
      <c r="R142" s="185"/>
      <c r="S142" s="185"/>
      <c r="T142" s="185"/>
      <c r="U142" s="185"/>
      <c r="V142" s="185"/>
      <c r="W142" s="185"/>
      <c r="X142" s="185"/>
      <c r="Y142" s="185"/>
      <c r="Z142" s="185"/>
      <c r="AA142" s="185"/>
      <c r="AB142" s="185"/>
      <c r="AC142" s="185"/>
      <c r="AD142" s="185"/>
      <c r="AE142" s="185"/>
    </row>
    <row r="143" spans="1:31" x14ac:dyDescent="0.2">
      <c r="A143" s="103"/>
      <c r="B143" s="107"/>
      <c r="C143" s="107"/>
      <c r="D143" s="108"/>
      <c r="E143" s="109"/>
      <c r="F143" s="109"/>
      <c r="G143" s="107"/>
      <c r="H143" s="108"/>
      <c r="I143" s="107"/>
      <c r="J143" s="110"/>
      <c r="K143" s="111"/>
      <c r="L143" s="112"/>
      <c r="M143" s="112"/>
      <c r="N143" s="185"/>
      <c r="O143" s="185"/>
      <c r="P143" s="185"/>
      <c r="Q143" s="185"/>
      <c r="R143" s="185"/>
      <c r="S143" s="185"/>
      <c r="T143" s="185"/>
      <c r="U143" s="185"/>
      <c r="V143" s="185"/>
      <c r="W143" s="185"/>
      <c r="X143" s="185"/>
      <c r="Y143" s="185"/>
      <c r="Z143" s="185"/>
      <c r="AA143" s="185"/>
      <c r="AB143" s="185"/>
      <c r="AC143" s="185"/>
      <c r="AD143" s="185"/>
      <c r="AE143" s="185"/>
    </row>
    <row r="144" spans="1:31" x14ac:dyDescent="0.2">
      <c r="A144" s="103"/>
      <c r="B144" s="107"/>
      <c r="C144" s="107"/>
      <c r="D144" s="108"/>
      <c r="E144" s="109"/>
      <c r="F144" s="109"/>
      <c r="G144" s="107"/>
      <c r="H144" s="108"/>
      <c r="I144" s="107"/>
      <c r="J144" s="110"/>
      <c r="K144" s="111"/>
      <c r="L144" s="112"/>
      <c r="M144" s="112"/>
      <c r="N144" s="185"/>
      <c r="O144" s="185"/>
      <c r="P144" s="185"/>
      <c r="Q144" s="185"/>
      <c r="R144" s="185"/>
      <c r="S144" s="185"/>
      <c r="T144" s="185"/>
      <c r="U144" s="185"/>
      <c r="V144" s="185"/>
      <c r="W144" s="185"/>
      <c r="X144" s="185"/>
      <c r="Y144" s="185"/>
      <c r="Z144" s="185"/>
      <c r="AA144" s="185"/>
      <c r="AB144" s="185"/>
      <c r="AC144" s="185"/>
      <c r="AD144" s="185"/>
      <c r="AE144" s="185"/>
    </row>
    <row r="145" spans="1:31" x14ac:dyDescent="0.2">
      <c r="A145" s="103"/>
      <c r="B145" s="107"/>
      <c r="C145" s="107"/>
      <c r="D145" s="108"/>
      <c r="E145" s="109"/>
      <c r="F145" s="109"/>
      <c r="G145" s="107"/>
      <c r="H145" s="108"/>
      <c r="I145" s="107"/>
      <c r="J145" s="110"/>
      <c r="K145" s="111"/>
      <c r="L145" s="112"/>
      <c r="M145" s="112"/>
      <c r="N145" s="185"/>
      <c r="O145" s="185"/>
      <c r="P145" s="185"/>
      <c r="Q145" s="185"/>
      <c r="R145" s="185"/>
      <c r="S145" s="185"/>
      <c r="T145" s="185"/>
      <c r="U145" s="185"/>
      <c r="V145" s="185"/>
      <c r="W145" s="185"/>
      <c r="X145" s="185"/>
      <c r="Y145" s="185"/>
      <c r="Z145" s="185"/>
      <c r="AA145" s="185"/>
      <c r="AB145" s="185"/>
      <c r="AC145" s="185"/>
      <c r="AD145" s="185"/>
      <c r="AE145" s="185"/>
    </row>
    <row r="146" spans="1:31" x14ac:dyDescent="0.2">
      <c r="A146" s="103"/>
      <c r="B146" s="107"/>
      <c r="C146" s="107"/>
      <c r="D146" s="108"/>
      <c r="E146" s="109"/>
      <c r="F146" s="109"/>
      <c r="G146" s="107"/>
      <c r="H146" s="108"/>
      <c r="I146" s="107"/>
      <c r="J146" s="110"/>
      <c r="K146" s="111"/>
      <c r="L146" s="112"/>
      <c r="M146" s="112"/>
      <c r="N146" s="185"/>
      <c r="O146" s="185"/>
      <c r="P146" s="185"/>
      <c r="Q146" s="185"/>
      <c r="R146" s="185"/>
      <c r="S146" s="185"/>
      <c r="T146" s="185"/>
      <c r="U146" s="185"/>
      <c r="V146" s="185"/>
      <c r="W146" s="185"/>
      <c r="X146" s="185"/>
      <c r="Y146" s="185"/>
      <c r="Z146" s="185"/>
      <c r="AA146" s="185"/>
      <c r="AB146" s="185"/>
      <c r="AC146" s="185"/>
      <c r="AD146" s="185"/>
      <c r="AE146" s="185"/>
    </row>
    <row r="147" spans="1:31" x14ac:dyDescent="0.2">
      <c r="A147" s="103"/>
      <c r="B147" s="107"/>
      <c r="C147" s="107"/>
      <c r="D147" s="108"/>
      <c r="E147" s="109"/>
      <c r="F147" s="109"/>
      <c r="G147" s="107"/>
      <c r="H147" s="108"/>
      <c r="I147" s="107"/>
      <c r="J147" s="110"/>
      <c r="K147" s="111"/>
      <c r="L147" s="112"/>
      <c r="M147" s="112"/>
      <c r="N147" s="185"/>
      <c r="O147" s="185"/>
      <c r="P147" s="185"/>
      <c r="Q147" s="185"/>
      <c r="R147" s="185"/>
      <c r="S147" s="185"/>
      <c r="T147" s="185"/>
      <c r="U147" s="185"/>
      <c r="V147" s="185"/>
      <c r="W147" s="185"/>
      <c r="X147" s="185"/>
      <c r="Y147" s="185"/>
      <c r="Z147" s="185"/>
      <c r="AA147" s="185"/>
      <c r="AB147" s="185"/>
      <c r="AC147" s="185"/>
      <c r="AD147" s="185"/>
      <c r="AE147" s="185"/>
    </row>
    <row r="148" spans="1:31" x14ac:dyDescent="0.2">
      <c r="A148" s="103"/>
      <c r="B148" s="107"/>
      <c r="C148" s="107"/>
      <c r="D148" s="108"/>
      <c r="E148" s="109"/>
      <c r="F148" s="109"/>
      <c r="G148" s="107"/>
      <c r="H148" s="108"/>
      <c r="I148" s="107"/>
      <c r="J148" s="110"/>
      <c r="K148" s="111"/>
      <c r="L148" s="112"/>
      <c r="M148" s="112"/>
      <c r="N148" s="185"/>
      <c r="O148" s="185"/>
      <c r="P148" s="185"/>
      <c r="Q148" s="185"/>
      <c r="R148" s="185"/>
      <c r="S148" s="185"/>
      <c r="T148" s="185"/>
      <c r="U148" s="185"/>
      <c r="V148" s="185"/>
      <c r="W148" s="185"/>
      <c r="X148" s="185"/>
      <c r="Y148" s="185"/>
      <c r="Z148" s="185"/>
      <c r="AA148" s="185"/>
      <c r="AB148" s="185"/>
      <c r="AC148" s="185"/>
      <c r="AD148" s="185"/>
      <c r="AE148" s="185"/>
    </row>
    <row r="149" spans="1:31" x14ac:dyDescent="0.2">
      <c r="A149" s="103"/>
      <c r="B149" s="107"/>
      <c r="C149" s="107"/>
      <c r="D149" s="108"/>
      <c r="E149" s="109"/>
      <c r="F149" s="109"/>
      <c r="G149" s="107"/>
      <c r="H149" s="108"/>
      <c r="I149" s="107"/>
      <c r="J149" s="110"/>
      <c r="K149" s="111"/>
      <c r="L149" s="112"/>
      <c r="M149" s="112"/>
      <c r="N149" s="185"/>
      <c r="O149" s="185"/>
      <c r="P149" s="185"/>
      <c r="Q149" s="185"/>
      <c r="R149" s="185"/>
      <c r="S149" s="185"/>
      <c r="T149" s="185"/>
      <c r="U149" s="185"/>
      <c r="V149" s="185"/>
      <c r="W149" s="185"/>
      <c r="X149" s="185"/>
      <c r="Y149" s="185"/>
      <c r="Z149" s="185"/>
      <c r="AA149" s="185"/>
      <c r="AB149" s="185"/>
      <c r="AC149" s="185"/>
      <c r="AD149" s="185"/>
      <c r="AE149" s="185"/>
    </row>
    <row r="150" spans="1:31" x14ac:dyDescent="0.2">
      <c r="A150" s="103"/>
      <c r="B150" s="107"/>
      <c r="C150" s="107"/>
      <c r="D150" s="108"/>
      <c r="E150" s="109"/>
      <c r="F150" s="109"/>
      <c r="G150" s="107"/>
      <c r="H150" s="108"/>
      <c r="I150" s="107"/>
      <c r="J150" s="110"/>
      <c r="K150" s="111"/>
      <c r="L150" s="112"/>
      <c r="M150" s="112"/>
      <c r="N150" s="185"/>
      <c r="O150" s="185"/>
      <c r="P150" s="185"/>
      <c r="Q150" s="185"/>
      <c r="R150" s="185"/>
      <c r="S150" s="185"/>
      <c r="T150" s="185"/>
      <c r="U150" s="185"/>
      <c r="V150" s="185"/>
      <c r="W150" s="185"/>
      <c r="X150" s="185"/>
      <c r="Y150" s="185"/>
      <c r="Z150" s="185"/>
      <c r="AA150" s="185"/>
      <c r="AB150" s="185"/>
      <c r="AC150" s="185"/>
      <c r="AD150" s="185"/>
      <c r="AE150" s="185"/>
    </row>
    <row r="151" spans="1:31" x14ac:dyDescent="0.2">
      <c r="A151" s="103"/>
      <c r="B151" s="107"/>
      <c r="C151" s="107"/>
      <c r="D151" s="108"/>
      <c r="E151" s="109"/>
      <c r="F151" s="109"/>
      <c r="G151" s="107"/>
      <c r="H151" s="108"/>
      <c r="I151" s="107"/>
      <c r="J151" s="110"/>
      <c r="K151" s="111"/>
      <c r="L151" s="112"/>
      <c r="M151" s="112"/>
      <c r="N151" s="185"/>
      <c r="O151" s="185"/>
      <c r="P151" s="185"/>
      <c r="Q151" s="185"/>
      <c r="R151" s="185"/>
      <c r="S151" s="185"/>
      <c r="T151" s="185"/>
      <c r="U151" s="185"/>
      <c r="V151" s="185"/>
      <c r="W151" s="185"/>
      <c r="X151" s="185"/>
      <c r="Y151" s="185"/>
      <c r="Z151" s="185"/>
      <c r="AA151" s="185"/>
      <c r="AB151" s="185"/>
      <c r="AC151" s="185"/>
      <c r="AD151" s="185"/>
      <c r="AE151" s="185"/>
    </row>
    <row r="152" spans="1:31" x14ac:dyDescent="0.2">
      <c r="A152" s="103"/>
      <c r="B152" s="107"/>
      <c r="C152" s="107"/>
      <c r="D152" s="108"/>
      <c r="E152" s="109"/>
      <c r="F152" s="109"/>
      <c r="G152" s="107"/>
      <c r="H152" s="108"/>
      <c r="I152" s="107"/>
      <c r="J152" s="110"/>
      <c r="K152" s="111"/>
      <c r="L152" s="112"/>
      <c r="M152" s="112"/>
      <c r="N152" s="185"/>
      <c r="O152" s="185"/>
      <c r="P152" s="185"/>
      <c r="Q152" s="185"/>
      <c r="R152" s="185"/>
      <c r="S152" s="185"/>
      <c r="T152" s="185"/>
      <c r="U152" s="185"/>
      <c r="V152" s="185"/>
      <c r="W152" s="185"/>
      <c r="X152" s="185"/>
      <c r="Y152" s="185"/>
      <c r="Z152" s="185"/>
      <c r="AA152" s="185"/>
      <c r="AB152" s="185"/>
      <c r="AC152" s="185"/>
      <c r="AD152" s="185"/>
      <c r="AE152" s="185"/>
    </row>
    <row r="153" spans="1:31" x14ac:dyDescent="0.2">
      <c r="A153" s="103"/>
      <c r="B153" s="107"/>
      <c r="C153" s="107"/>
      <c r="D153" s="108"/>
      <c r="E153" s="109"/>
      <c r="F153" s="109"/>
      <c r="G153" s="107"/>
      <c r="H153" s="108"/>
      <c r="I153" s="107"/>
      <c r="J153" s="110"/>
      <c r="K153" s="111"/>
      <c r="L153" s="112"/>
      <c r="M153" s="112"/>
      <c r="N153" s="185"/>
      <c r="O153" s="185"/>
      <c r="P153" s="185"/>
      <c r="Q153" s="185"/>
      <c r="R153" s="185"/>
      <c r="S153" s="185"/>
      <c r="T153" s="185"/>
      <c r="U153" s="185"/>
      <c r="V153" s="185"/>
      <c r="W153" s="185"/>
      <c r="X153" s="185"/>
      <c r="Y153" s="185"/>
      <c r="Z153" s="185"/>
      <c r="AA153" s="185"/>
      <c r="AB153" s="185"/>
      <c r="AC153" s="185"/>
      <c r="AD153" s="185"/>
      <c r="AE153" s="185"/>
    </row>
    <row r="154" spans="1:31" x14ac:dyDescent="0.2">
      <c r="A154" s="103"/>
      <c r="B154" s="107"/>
      <c r="C154" s="107"/>
      <c r="D154" s="108"/>
      <c r="E154" s="109"/>
      <c r="F154" s="109"/>
      <c r="G154" s="107"/>
      <c r="H154" s="108"/>
      <c r="I154" s="107"/>
      <c r="J154" s="110"/>
      <c r="K154" s="111"/>
      <c r="L154" s="112"/>
      <c r="M154" s="112"/>
      <c r="N154" s="185"/>
      <c r="O154" s="185"/>
      <c r="P154" s="185"/>
      <c r="Q154" s="185"/>
      <c r="R154" s="185"/>
      <c r="S154" s="185"/>
      <c r="T154" s="185"/>
      <c r="U154" s="185"/>
      <c r="V154" s="185"/>
      <c r="W154" s="185"/>
      <c r="X154" s="185"/>
      <c r="Y154" s="185"/>
      <c r="Z154" s="185"/>
      <c r="AA154" s="185"/>
      <c r="AB154" s="185"/>
      <c r="AC154" s="185"/>
      <c r="AD154" s="185"/>
      <c r="AE154" s="185"/>
    </row>
    <row r="155" spans="1:31" x14ac:dyDescent="0.2">
      <c r="A155" s="103"/>
      <c r="B155" s="107"/>
      <c r="C155" s="107"/>
      <c r="D155" s="108"/>
      <c r="E155" s="109"/>
      <c r="F155" s="109"/>
      <c r="G155" s="107"/>
      <c r="H155" s="108"/>
      <c r="I155" s="107"/>
      <c r="J155" s="110"/>
      <c r="K155" s="111"/>
      <c r="L155" s="112"/>
      <c r="M155" s="112"/>
      <c r="N155" s="185"/>
      <c r="O155" s="185"/>
      <c r="P155" s="185"/>
      <c r="Q155" s="185"/>
      <c r="R155" s="185"/>
      <c r="S155" s="185"/>
      <c r="T155" s="185"/>
      <c r="U155" s="185"/>
      <c r="V155" s="185"/>
      <c r="W155" s="185"/>
      <c r="X155" s="185"/>
      <c r="Y155" s="185"/>
      <c r="Z155" s="185"/>
      <c r="AA155" s="185"/>
      <c r="AB155" s="185"/>
      <c r="AC155" s="185"/>
      <c r="AD155" s="185"/>
      <c r="AE155" s="185"/>
    </row>
    <row r="156" spans="1:31" x14ac:dyDescent="0.2">
      <c r="A156" s="103"/>
      <c r="B156" s="107"/>
      <c r="C156" s="107"/>
      <c r="D156" s="108"/>
      <c r="E156" s="109"/>
      <c r="F156" s="109"/>
      <c r="G156" s="107"/>
      <c r="H156" s="108"/>
      <c r="I156" s="107"/>
      <c r="J156" s="110"/>
      <c r="K156" s="111"/>
      <c r="L156" s="112"/>
      <c r="M156" s="112"/>
      <c r="N156" s="185"/>
      <c r="O156" s="185"/>
      <c r="P156" s="185"/>
      <c r="Q156" s="185"/>
      <c r="R156" s="185"/>
      <c r="S156" s="185"/>
      <c r="T156" s="185"/>
      <c r="U156" s="185"/>
      <c r="V156" s="185"/>
      <c r="W156" s="185"/>
      <c r="X156" s="185"/>
      <c r="Y156" s="185"/>
      <c r="Z156" s="185"/>
      <c r="AA156" s="185"/>
      <c r="AB156" s="185"/>
      <c r="AC156" s="185"/>
      <c r="AD156" s="185"/>
      <c r="AE156" s="185"/>
    </row>
  </sheetData>
  <customSheetViews>
    <customSheetView guid="{1C92A2C2-FD48-4928-AED5-9BEA6C9145FD}" scale="80" showAutoFilter="1">
      <selection activeCell="G2" sqref="G2"/>
      <pageMargins left="0" right="0" top="0" bottom="0" header="0" footer="0"/>
      <headerFooter alignWithMargins="0"/>
      <autoFilter ref="B1:P1" xr:uid="{00408E1A-07A9-4B4C-A0A9-542B29DE7D1A}"/>
    </customSheetView>
    <customSheetView guid="{CD937A6C-313E-4825-9940-C75FA8D50104}" scale="75" filter="1" showAutoFilter="1" showRuler="0" topLeftCell="B1">
      <selection activeCell="F197" sqref="F197"/>
      <pageMargins left="0" right="0" top="0" bottom="0" header="0" footer="0"/>
      <headerFooter alignWithMargins="0"/>
      <autoFilter ref="B1:P1" xr:uid="{BDF95700-35A5-4EA2-8C40-A43CE59DCF34}">
        <filterColumn colId="14">
          <filters>
            <filter val="REOPEN"/>
          </filters>
        </filterColumn>
      </autoFilter>
    </customSheetView>
    <customSheetView guid="{FF154EE2-AC2D-430A-9754-0D28C9DDDBFB}" filter="1" showAutoFilter="1" topLeftCell="I1">
      <selection activeCell="J167" sqref="J167"/>
      <pageMargins left="0" right="0" top="0" bottom="0" header="0" footer="0"/>
      <headerFooter alignWithMargins="0"/>
      <autoFilter ref="B1:P1" xr:uid="{15372B93-D826-4922-B086-31F657DD59BD}">
        <filterColumn colId="9">
          <filters>
            <filter val="joao"/>
            <filter val="Miguel Chibante"/>
          </filters>
        </filterColumn>
      </autoFilter>
    </customSheetView>
    <customSheetView guid="{87E9DF29-B3B5-49D6-A9F9-D4136AD726FA}" filter="1" showAutoFilter="1" showRuler="0" topLeftCell="H185">
      <selection activeCell="O187" sqref="O187"/>
      <pageMargins left="0" right="0" top="0" bottom="0" header="0" footer="0"/>
      <pageSetup orientation="portrait" r:id="rId1"/>
      <headerFooter alignWithMargins="0"/>
      <autoFilter ref="B1:U1" xr:uid="{FA937D7E-C1FA-4258-A656-ADE9E425C7C8}">
        <filterColumn colId="4">
          <filters>
            <filter val="Hasan"/>
          </filters>
        </filterColumn>
      </autoFilter>
    </customSheetView>
    <customSheetView guid="{C2290E76-3893-41D8-A4D2-83F52E2B89D5}" scale="75" filter="1" showAutoFilter="1" showRuler="0" topLeftCell="D1">
      <selection activeCell="K17" sqref="K17"/>
      <pageMargins left="0" right="0" top="0" bottom="0" header="0" footer="0"/>
      <headerFooter alignWithMargins="0"/>
      <autoFilter ref="B1:P1" xr:uid="{992B5CDF-B344-4364-AD1A-6478CEBB7054}">
        <filterColumn colId="4">
          <filters>
            <filter val="Kamrul"/>
          </filters>
        </filterColumn>
        <filterColumn colId="14">
          <filters>
            <filter val="REJECTED"/>
          </filters>
        </filterColumn>
      </autoFilter>
    </customSheetView>
    <customSheetView guid="{98F85CEF-0B27-46E0-83EC-AF3A91A8F625}" scale="75" filter="1" showAutoFilter="1" showRuler="0">
      <selection activeCell="B17" sqref="B17"/>
      <pageMargins left="0" right="0" top="0" bottom="0" header="0" footer="0"/>
      <headerFooter alignWithMargins="0"/>
      <autoFilter ref="B1:P1" xr:uid="{F30C4C35-2289-4D9D-B2CC-91BCF8C814D2}">
        <filterColumn colId="14">
          <filters>
            <filter val="REJECTED"/>
          </filters>
        </filterColumn>
      </autoFilter>
    </customSheetView>
  </customSheetViews>
  <phoneticPr fontId="9" type="noConversion"/>
  <dataValidations count="4">
    <dataValidation type="list" allowBlank="1" showInputMessage="1" showErrorMessage="1" sqref="F1:F1048576" xr:uid="{00000000-0002-0000-0400-000000000000}">
      <formula1>DefectTipification</formula1>
    </dataValidation>
    <dataValidation type="list" allowBlank="1" showInputMessage="1" showErrorMessage="1" sqref="L1:L1048576" xr:uid="{00000000-0002-0000-0400-000001000000}">
      <formula1>DefectStatus</formula1>
    </dataValidation>
    <dataValidation type="list" allowBlank="1" showInputMessage="1" showErrorMessage="1" sqref="E1:E1048576" xr:uid="{00000000-0002-0000-0400-000002000000}">
      <formula1>DefectPriority</formula1>
    </dataValidation>
    <dataValidation type="list" allowBlank="1" showInputMessage="1" showErrorMessage="1" sqref="M2:M12" xr:uid="{00000000-0002-0000-0400-000003000000}">
      <formula1>#REF!</formula1>
    </dataValidation>
  </dataValidations>
  <pageMargins left="0.75" right="0.75" top="1" bottom="1" header="0.5" footer="0.5"/>
  <pageSetup paperSize="9" orientation="portrait" r:id="rId2"/>
  <headerFooter alignWithMargins="0">
    <oddHeader>&amp;L&amp;"Calibri"&amp;11&amp;K317100This message/document has been classified as “Public”&amp;1#</oddHeader>
  </headerFooter>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H114"/>
  <sheetViews>
    <sheetView workbookViewId="0">
      <selection activeCell="B11" sqref="B11"/>
    </sheetView>
  </sheetViews>
  <sheetFormatPr defaultRowHeight="12.75" x14ac:dyDescent="0.2"/>
  <cols>
    <col min="1" max="1" width="16" bestFit="1" customWidth="1"/>
    <col min="2" max="2" width="61.140625" bestFit="1" customWidth="1"/>
    <col min="3" max="8" width="38" customWidth="1"/>
  </cols>
  <sheetData>
    <row r="1" spans="1:8" s="113" customFormat="1" x14ac:dyDescent="0.2">
      <c r="A1" s="114" t="s">
        <v>229</v>
      </c>
      <c r="B1" s="114" t="s">
        <v>230</v>
      </c>
      <c r="C1" s="114" t="s">
        <v>231</v>
      </c>
      <c r="D1" s="114" t="s">
        <v>232</v>
      </c>
      <c r="E1" s="114" t="s">
        <v>222</v>
      </c>
      <c r="F1" s="114" t="s">
        <v>223</v>
      </c>
      <c r="G1" s="115" t="s">
        <v>228</v>
      </c>
      <c r="H1" s="114" t="s">
        <v>233</v>
      </c>
    </row>
    <row r="2" spans="1:8" x14ac:dyDescent="0.2">
      <c r="A2" s="116"/>
      <c r="B2" s="117"/>
      <c r="C2" s="116"/>
      <c r="D2" s="117"/>
      <c r="E2" s="118"/>
      <c r="F2" s="116"/>
      <c r="G2" s="116"/>
      <c r="H2" s="116"/>
    </row>
    <row r="3" spans="1:8" x14ac:dyDescent="0.2">
      <c r="A3" s="116"/>
      <c r="B3" s="117"/>
      <c r="C3" s="116"/>
      <c r="D3" s="117"/>
      <c r="E3" s="118"/>
      <c r="F3" s="116"/>
      <c r="G3" s="116"/>
      <c r="H3" s="116"/>
    </row>
    <row r="4" spans="1:8" x14ac:dyDescent="0.2">
      <c r="A4" s="116"/>
      <c r="B4" s="117"/>
      <c r="C4" s="116"/>
      <c r="D4" s="116"/>
      <c r="E4" s="118"/>
      <c r="F4" s="116"/>
      <c r="G4" s="116"/>
      <c r="H4" s="116"/>
    </row>
    <row r="5" spans="1:8" x14ac:dyDescent="0.2">
      <c r="A5" s="116"/>
      <c r="B5" s="119"/>
      <c r="C5" s="116"/>
      <c r="D5" s="116"/>
      <c r="E5" s="120"/>
      <c r="F5" s="116"/>
      <c r="G5" s="119"/>
      <c r="H5" s="116"/>
    </row>
    <row r="6" spans="1:8" x14ac:dyDescent="0.2">
      <c r="A6" s="119"/>
      <c r="B6" s="121"/>
      <c r="C6" s="116"/>
      <c r="D6" s="116"/>
      <c r="E6" s="120"/>
      <c r="F6" s="116"/>
      <c r="G6" s="119"/>
      <c r="H6" s="116"/>
    </row>
    <row r="7" spans="1:8" x14ac:dyDescent="0.2">
      <c r="A7" s="119"/>
      <c r="B7" s="121"/>
      <c r="C7" s="116"/>
      <c r="D7" s="116"/>
      <c r="E7" s="120"/>
      <c r="F7" s="116"/>
      <c r="G7" s="119"/>
      <c r="H7" s="116"/>
    </row>
    <row r="8" spans="1:8" x14ac:dyDescent="0.2">
      <c r="A8" s="119"/>
      <c r="B8" s="119"/>
      <c r="C8" s="116"/>
      <c r="D8" s="116"/>
      <c r="E8" s="120"/>
      <c r="F8" s="116"/>
      <c r="G8" s="119"/>
      <c r="H8" s="116"/>
    </row>
    <row r="9" spans="1:8" x14ac:dyDescent="0.2">
      <c r="A9" s="119"/>
      <c r="B9" s="119"/>
      <c r="C9" s="116"/>
      <c r="D9" s="116"/>
      <c r="E9" s="120"/>
      <c r="F9" s="116"/>
      <c r="G9" s="119"/>
      <c r="H9" s="116"/>
    </row>
    <row r="10" spans="1:8" x14ac:dyDescent="0.2">
      <c r="A10" s="119"/>
      <c r="B10" s="119"/>
      <c r="C10" s="116"/>
      <c r="D10" s="116"/>
      <c r="E10" s="120"/>
      <c r="F10" s="116"/>
      <c r="G10" s="119"/>
      <c r="H10" s="116"/>
    </row>
    <row r="11" spans="1:8" x14ac:dyDescent="0.2">
      <c r="A11" s="119"/>
      <c r="B11" s="119"/>
      <c r="C11" s="116"/>
      <c r="D11" s="116"/>
      <c r="E11" s="120"/>
      <c r="F11" s="116"/>
      <c r="G11" s="119"/>
      <c r="H11" s="116"/>
    </row>
    <row r="12" spans="1:8" x14ac:dyDescent="0.2">
      <c r="A12" s="119"/>
      <c r="B12" s="119"/>
      <c r="C12" s="116"/>
      <c r="D12" s="116"/>
      <c r="E12" s="120"/>
      <c r="F12" s="116"/>
      <c r="G12" s="119"/>
      <c r="H12" s="116"/>
    </row>
    <row r="13" spans="1:8" x14ac:dyDescent="0.2">
      <c r="A13" s="119"/>
      <c r="B13" s="119"/>
      <c r="C13" s="116"/>
      <c r="D13" s="116"/>
      <c r="E13" s="120"/>
      <c r="F13" s="116"/>
      <c r="G13" s="119"/>
      <c r="H13" s="116"/>
    </row>
    <row r="14" spans="1:8" x14ac:dyDescent="0.2">
      <c r="A14" s="116"/>
      <c r="B14" s="116"/>
      <c r="C14" s="116"/>
      <c r="D14" s="116"/>
      <c r="E14" s="118"/>
      <c r="F14" s="116"/>
      <c r="G14" s="116"/>
      <c r="H14" s="116"/>
    </row>
    <row r="15" spans="1:8" x14ac:dyDescent="0.2">
      <c r="A15" s="116"/>
      <c r="B15" s="116"/>
      <c r="C15" s="116"/>
      <c r="D15" s="116"/>
      <c r="E15" s="118"/>
      <c r="F15" s="116"/>
      <c r="G15" s="116"/>
      <c r="H15" s="116"/>
    </row>
    <row r="16" spans="1:8" x14ac:dyDescent="0.2">
      <c r="A16" s="116"/>
      <c r="B16" s="116"/>
      <c r="C16" s="116"/>
      <c r="D16" s="116"/>
      <c r="E16" s="118"/>
      <c r="F16" s="116"/>
      <c r="G16" s="116"/>
      <c r="H16" s="116"/>
    </row>
    <row r="17" spans="1:8" ht="15" x14ac:dyDescent="0.25">
      <c r="A17" s="116"/>
      <c r="B17" s="122"/>
      <c r="C17" s="116"/>
      <c r="D17" s="116"/>
      <c r="E17" s="118"/>
      <c r="F17" s="116"/>
      <c r="G17" s="116"/>
      <c r="H17" s="116"/>
    </row>
    <row r="18" spans="1:8" x14ac:dyDescent="0.2">
      <c r="A18" s="116"/>
      <c r="B18" s="116"/>
      <c r="C18" s="116"/>
      <c r="D18" s="116"/>
      <c r="E18" s="118"/>
      <c r="F18" s="116"/>
      <c r="G18" s="116"/>
      <c r="H18" s="116"/>
    </row>
    <row r="19" spans="1:8" x14ac:dyDescent="0.2">
      <c r="A19" s="116"/>
      <c r="B19" s="116"/>
      <c r="C19" s="116"/>
      <c r="D19" s="116"/>
      <c r="E19" s="118"/>
      <c r="F19" s="116"/>
      <c r="G19" s="116"/>
      <c r="H19" s="116"/>
    </row>
    <row r="20" spans="1:8" x14ac:dyDescent="0.2">
      <c r="A20" s="116"/>
      <c r="B20" s="116"/>
      <c r="C20" s="116"/>
      <c r="D20" s="116"/>
      <c r="E20" s="118"/>
      <c r="F20" s="116"/>
      <c r="G20" s="116"/>
      <c r="H20" s="116"/>
    </row>
    <row r="21" spans="1:8" x14ac:dyDescent="0.2">
      <c r="A21" s="116"/>
      <c r="B21" s="116"/>
      <c r="C21" s="116"/>
      <c r="D21" s="116"/>
      <c r="E21" s="118"/>
      <c r="F21" s="116"/>
      <c r="G21" s="116"/>
      <c r="H21" s="116"/>
    </row>
    <row r="22" spans="1:8" x14ac:dyDescent="0.2">
      <c r="A22" s="116"/>
      <c r="B22" s="116"/>
      <c r="C22" s="116"/>
      <c r="D22" s="116"/>
      <c r="E22" s="118"/>
      <c r="F22" s="116"/>
      <c r="G22" s="116"/>
      <c r="H22" s="116"/>
    </row>
    <row r="23" spans="1:8" x14ac:dyDescent="0.2">
      <c r="A23" s="116"/>
      <c r="B23" s="116"/>
      <c r="C23" s="116"/>
      <c r="D23" s="116"/>
      <c r="E23" s="118"/>
      <c r="F23" s="116"/>
      <c r="G23" s="116"/>
      <c r="H23" s="116"/>
    </row>
    <row r="24" spans="1:8" x14ac:dyDescent="0.2">
      <c r="A24" s="116"/>
      <c r="B24" s="116"/>
      <c r="C24" s="116"/>
      <c r="D24" s="116"/>
      <c r="E24" s="118"/>
      <c r="F24" s="116"/>
      <c r="G24" s="116"/>
      <c r="H24" s="116"/>
    </row>
    <row r="25" spans="1:8" x14ac:dyDescent="0.2">
      <c r="A25" s="116"/>
      <c r="B25" s="116"/>
      <c r="C25" s="116"/>
      <c r="D25" s="116"/>
      <c r="E25" s="118"/>
      <c r="F25" s="116"/>
      <c r="G25" s="116"/>
      <c r="H25" s="116"/>
    </row>
    <row r="26" spans="1:8" x14ac:dyDescent="0.2">
      <c r="A26" s="116"/>
      <c r="B26" s="116"/>
      <c r="C26" s="116"/>
      <c r="D26" s="116"/>
      <c r="E26" s="118"/>
      <c r="F26" s="116"/>
      <c r="G26" s="116"/>
      <c r="H26" s="116"/>
    </row>
    <row r="27" spans="1:8" x14ac:dyDescent="0.2">
      <c r="A27" s="116"/>
      <c r="B27" s="116"/>
      <c r="C27" s="116"/>
      <c r="D27" s="116"/>
      <c r="E27" s="118"/>
      <c r="F27" s="116"/>
      <c r="G27" s="116"/>
      <c r="H27" s="116"/>
    </row>
    <row r="28" spans="1:8" x14ac:dyDescent="0.2">
      <c r="A28" s="116"/>
      <c r="B28" s="116"/>
      <c r="C28" s="116"/>
      <c r="D28" s="116"/>
      <c r="E28" s="118"/>
      <c r="F28" s="116"/>
      <c r="G28" s="116"/>
      <c r="H28" s="116"/>
    </row>
    <row r="29" spans="1:8" x14ac:dyDescent="0.2">
      <c r="A29" s="116"/>
      <c r="B29" s="116"/>
      <c r="C29" s="116"/>
      <c r="D29" s="116"/>
      <c r="E29" s="118"/>
      <c r="F29" s="116"/>
      <c r="G29" s="116"/>
      <c r="H29" s="116"/>
    </row>
    <row r="30" spans="1:8" x14ac:dyDescent="0.2">
      <c r="A30" s="116"/>
      <c r="B30" s="116"/>
      <c r="C30" s="116"/>
      <c r="D30" s="116"/>
      <c r="E30" s="118"/>
      <c r="F30" s="116"/>
      <c r="G30" s="116"/>
      <c r="H30" s="116"/>
    </row>
    <row r="31" spans="1:8" x14ac:dyDescent="0.2">
      <c r="A31" s="116"/>
      <c r="B31" s="116"/>
      <c r="C31" s="116"/>
      <c r="D31" s="116"/>
      <c r="E31" s="118"/>
      <c r="F31" s="116"/>
      <c r="G31" s="116"/>
      <c r="H31" s="116"/>
    </row>
    <row r="32" spans="1:8" x14ac:dyDescent="0.2">
      <c r="A32" s="116"/>
      <c r="B32" s="116"/>
      <c r="C32" s="116"/>
      <c r="D32" s="116"/>
      <c r="E32" s="118"/>
      <c r="F32" s="116"/>
      <c r="G32" s="116"/>
      <c r="H32" s="116"/>
    </row>
    <row r="33" spans="1:8" x14ac:dyDescent="0.2">
      <c r="A33" s="116"/>
      <c r="B33" s="116"/>
      <c r="C33" s="116"/>
      <c r="D33" s="116"/>
      <c r="E33" s="118"/>
      <c r="F33" s="116"/>
      <c r="G33" s="116"/>
      <c r="H33" s="116"/>
    </row>
    <row r="34" spans="1:8" x14ac:dyDescent="0.2">
      <c r="A34" s="116"/>
      <c r="B34" s="116"/>
      <c r="C34" s="116"/>
      <c r="D34" s="116"/>
      <c r="E34" s="118"/>
      <c r="F34" s="116"/>
      <c r="G34" s="116"/>
      <c r="H34" s="116"/>
    </row>
    <row r="35" spans="1:8" x14ac:dyDescent="0.2">
      <c r="A35" s="116"/>
      <c r="B35" s="116"/>
      <c r="C35" s="116"/>
      <c r="D35" s="116"/>
      <c r="E35" s="118"/>
      <c r="F35" s="116"/>
      <c r="G35" s="116"/>
      <c r="H35" s="116"/>
    </row>
    <row r="36" spans="1:8" x14ac:dyDescent="0.2">
      <c r="A36" s="116"/>
      <c r="B36" s="116"/>
      <c r="C36" s="116"/>
      <c r="D36" s="116"/>
      <c r="E36" s="118"/>
      <c r="F36" s="116"/>
      <c r="G36" s="116"/>
      <c r="H36" s="116"/>
    </row>
    <row r="37" spans="1:8" x14ac:dyDescent="0.2">
      <c r="A37" s="116"/>
      <c r="B37" s="116"/>
      <c r="C37" s="116"/>
      <c r="D37" s="116"/>
      <c r="E37" s="118"/>
      <c r="F37" s="116"/>
      <c r="G37" s="116"/>
      <c r="H37" s="116"/>
    </row>
    <row r="38" spans="1:8" x14ac:dyDescent="0.2">
      <c r="A38" s="116"/>
      <c r="B38" s="116"/>
      <c r="C38" s="116"/>
      <c r="D38" s="116"/>
      <c r="E38" s="118"/>
      <c r="F38" s="116"/>
      <c r="G38" s="116"/>
      <c r="H38" s="116"/>
    </row>
    <row r="39" spans="1:8" x14ac:dyDescent="0.2">
      <c r="A39" s="116"/>
      <c r="B39" s="116"/>
      <c r="C39" s="116"/>
      <c r="D39" s="116"/>
      <c r="E39" s="118"/>
      <c r="F39" s="116"/>
      <c r="G39" s="116"/>
      <c r="H39" s="116"/>
    </row>
    <row r="40" spans="1:8" x14ac:dyDescent="0.2">
      <c r="A40" s="116"/>
      <c r="B40" s="116"/>
      <c r="C40" s="116"/>
      <c r="D40" s="116"/>
      <c r="E40" s="118"/>
      <c r="F40" s="116"/>
      <c r="G40" s="116"/>
      <c r="H40" s="116"/>
    </row>
    <row r="41" spans="1:8" x14ac:dyDescent="0.2">
      <c r="A41" s="116"/>
      <c r="B41" s="116"/>
      <c r="C41" s="116"/>
      <c r="D41" s="116"/>
      <c r="E41" s="118"/>
      <c r="F41" s="116"/>
      <c r="G41" s="116"/>
      <c r="H41" s="116"/>
    </row>
    <row r="42" spans="1:8" x14ac:dyDescent="0.2">
      <c r="A42" s="116"/>
      <c r="B42" s="116"/>
      <c r="C42" s="116"/>
      <c r="D42" s="116"/>
      <c r="E42" s="118"/>
      <c r="F42" s="116"/>
      <c r="G42" s="116"/>
      <c r="H42" s="116"/>
    </row>
    <row r="43" spans="1:8" x14ac:dyDescent="0.2">
      <c r="A43" s="116"/>
      <c r="B43" s="116"/>
      <c r="C43" s="116"/>
      <c r="D43" s="116"/>
      <c r="E43" s="118"/>
      <c r="F43" s="116"/>
      <c r="G43" s="116"/>
      <c r="H43" s="116"/>
    </row>
    <row r="44" spans="1:8" x14ac:dyDescent="0.2">
      <c r="A44" s="116"/>
      <c r="B44" s="116"/>
      <c r="C44" s="116"/>
      <c r="D44" s="116"/>
      <c r="E44" s="118"/>
      <c r="F44" s="116"/>
      <c r="G44" s="116"/>
      <c r="H44" s="116"/>
    </row>
    <row r="45" spans="1:8" x14ac:dyDescent="0.2">
      <c r="A45" s="116"/>
      <c r="B45" s="116"/>
      <c r="C45" s="116"/>
      <c r="D45" s="116"/>
      <c r="E45" s="118"/>
      <c r="F45" s="116"/>
      <c r="G45" s="116"/>
      <c r="H45" s="116"/>
    </row>
    <row r="46" spans="1:8" x14ac:dyDescent="0.2">
      <c r="A46" s="116"/>
      <c r="B46" s="116"/>
      <c r="C46" s="116"/>
      <c r="D46" s="116"/>
      <c r="E46" s="118"/>
      <c r="F46" s="116"/>
      <c r="G46" s="116"/>
      <c r="H46" s="116"/>
    </row>
    <row r="47" spans="1:8" x14ac:dyDescent="0.2">
      <c r="A47" s="116"/>
      <c r="B47" s="116"/>
      <c r="C47" s="116"/>
      <c r="D47" s="116"/>
      <c r="E47" s="118"/>
      <c r="F47" s="116"/>
      <c r="G47" s="116"/>
      <c r="H47" s="116"/>
    </row>
    <row r="48" spans="1:8" x14ac:dyDescent="0.2">
      <c r="A48" s="116"/>
      <c r="B48" s="116"/>
      <c r="C48" s="116"/>
      <c r="D48" s="116"/>
      <c r="E48" s="118"/>
      <c r="F48" s="116"/>
      <c r="G48" s="116"/>
      <c r="H48" s="116"/>
    </row>
    <row r="49" spans="1:8" x14ac:dyDescent="0.2">
      <c r="A49" s="116"/>
      <c r="B49" s="116"/>
      <c r="C49" s="116"/>
      <c r="D49" s="116"/>
      <c r="E49" s="118"/>
      <c r="F49" s="116"/>
      <c r="G49" s="116"/>
      <c r="H49" s="116"/>
    </row>
    <row r="50" spans="1:8" x14ac:dyDescent="0.2">
      <c r="A50" s="116"/>
      <c r="B50" s="116"/>
      <c r="C50" s="116"/>
      <c r="D50" s="116"/>
      <c r="E50" s="118"/>
      <c r="F50" s="116"/>
      <c r="G50" s="116"/>
      <c r="H50" s="116"/>
    </row>
    <row r="51" spans="1:8" x14ac:dyDescent="0.2">
      <c r="A51" s="116"/>
      <c r="B51" s="116"/>
      <c r="C51" s="116"/>
      <c r="D51" s="116"/>
      <c r="E51" s="118"/>
      <c r="F51" s="116"/>
      <c r="G51" s="116"/>
      <c r="H51" s="116"/>
    </row>
    <row r="52" spans="1:8" x14ac:dyDescent="0.2">
      <c r="A52" s="116"/>
      <c r="B52" s="116"/>
      <c r="C52" s="116"/>
      <c r="D52" s="116"/>
      <c r="E52" s="118"/>
      <c r="F52" s="116"/>
      <c r="G52" s="116"/>
      <c r="H52" s="116"/>
    </row>
    <row r="53" spans="1:8" x14ac:dyDescent="0.2">
      <c r="A53" s="116"/>
      <c r="B53" s="116"/>
      <c r="C53" s="116"/>
      <c r="D53" s="116"/>
      <c r="E53" s="118"/>
      <c r="F53" s="116"/>
      <c r="G53" s="116"/>
      <c r="H53" s="116"/>
    </row>
    <row r="54" spans="1:8" x14ac:dyDescent="0.2">
      <c r="A54" s="116"/>
      <c r="B54" s="116"/>
      <c r="C54" s="116"/>
      <c r="D54" s="116"/>
      <c r="E54" s="118"/>
      <c r="F54" s="116"/>
      <c r="G54" s="116"/>
      <c r="H54" s="116"/>
    </row>
    <row r="55" spans="1:8" x14ac:dyDescent="0.2">
      <c r="A55" s="116"/>
      <c r="B55" s="116"/>
      <c r="C55" s="116"/>
      <c r="D55" s="116"/>
      <c r="E55" s="118"/>
      <c r="F55" s="116"/>
      <c r="G55" s="116"/>
      <c r="H55" s="116"/>
    </row>
    <row r="56" spans="1:8" x14ac:dyDescent="0.2">
      <c r="A56" s="116"/>
      <c r="B56" s="116"/>
      <c r="C56" s="116"/>
      <c r="D56" s="116"/>
      <c r="E56" s="118"/>
      <c r="F56" s="116"/>
      <c r="G56" s="116"/>
      <c r="H56" s="116"/>
    </row>
    <row r="57" spans="1:8" x14ac:dyDescent="0.2">
      <c r="A57" s="116"/>
      <c r="B57" s="116"/>
      <c r="C57" s="116"/>
      <c r="D57" s="116"/>
      <c r="E57" s="118"/>
      <c r="F57" s="116"/>
      <c r="G57" s="116"/>
      <c r="H57" s="116"/>
    </row>
    <row r="58" spans="1:8" x14ac:dyDescent="0.2">
      <c r="A58" s="116"/>
      <c r="B58" s="116"/>
      <c r="C58" s="116"/>
      <c r="D58" s="116"/>
      <c r="E58" s="118"/>
      <c r="F58" s="116"/>
      <c r="G58" s="116"/>
      <c r="H58" s="116"/>
    </row>
    <row r="59" spans="1:8" x14ac:dyDescent="0.2">
      <c r="A59" s="116"/>
      <c r="B59" s="116"/>
      <c r="C59" s="116"/>
      <c r="D59" s="116"/>
      <c r="E59" s="118"/>
      <c r="F59" s="116"/>
      <c r="G59" s="116"/>
      <c r="H59" s="116"/>
    </row>
    <row r="60" spans="1:8" x14ac:dyDescent="0.2">
      <c r="A60" s="116"/>
      <c r="B60" s="116"/>
      <c r="C60" s="116"/>
      <c r="D60" s="116"/>
      <c r="E60" s="118"/>
      <c r="F60" s="116"/>
      <c r="G60" s="116"/>
      <c r="H60" s="116"/>
    </row>
    <row r="61" spans="1:8" x14ac:dyDescent="0.2">
      <c r="A61" s="116"/>
      <c r="B61" s="116"/>
      <c r="C61" s="116"/>
      <c r="D61" s="116"/>
      <c r="E61" s="118"/>
      <c r="F61" s="116"/>
      <c r="G61" s="116"/>
      <c r="H61" s="116"/>
    </row>
    <row r="62" spans="1:8" x14ac:dyDescent="0.2">
      <c r="A62" s="116"/>
      <c r="B62" s="116"/>
      <c r="C62" s="116"/>
      <c r="D62" s="116"/>
      <c r="E62" s="118"/>
      <c r="F62" s="116"/>
      <c r="G62" s="116"/>
      <c r="H62" s="116"/>
    </row>
    <row r="63" spans="1:8" x14ac:dyDescent="0.2">
      <c r="A63" s="116"/>
      <c r="B63" s="116"/>
      <c r="C63" s="116"/>
      <c r="D63" s="116"/>
      <c r="E63" s="118"/>
      <c r="F63" s="116"/>
      <c r="G63" s="116"/>
      <c r="H63" s="116"/>
    </row>
    <row r="64" spans="1:8" x14ac:dyDescent="0.2">
      <c r="A64" s="116"/>
      <c r="B64" s="116"/>
      <c r="C64" s="116"/>
      <c r="D64" s="116"/>
      <c r="E64" s="118"/>
      <c r="F64" s="116"/>
      <c r="G64" s="116"/>
      <c r="H64" s="116"/>
    </row>
    <row r="65" spans="1:8" x14ac:dyDescent="0.2">
      <c r="A65" s="116"/>
      <c r="B65" s="116"/>
      <c r="C65" s="116"/>
      <c r="D65" s="116"/>
      <c r="E65" s="118"/>
      <c r="F65" s="116"/>
      <c r="G65" s="116"/>
      <c r="H65" s="116"/>
    </row>
    <row r="66" spans="1:8" x14ac:dyDescent="0.2">
      <c r="A66" s="116"/>
      <c r="B66" s="116"/>
      <c r="C66" s="116"/>
      <c r="D66" s="116"/>
      <c r="E66" s="118"/>
      <c r="F66" s="116"/>
      <c r="G66" s="116"/>
      <c r="H66" s="116"/>
    </row>
    <row r="67" spans="1:8" x14ac:dyDescent="0.2">
      <c r="A67" s="116"/>
      <c r="B67" s="116"/>
      <c r="C67" s="116"/>
      <c r="D67" s="116"/>
      <c r="E67" s="118"/>
      <c r="F67" s="116"/>
      <c r="G67" s="116"/>
      <c r="H67" s="116"/>
    </row>
    <row r="68" spans="1:8" x14ac:dyDescent="0.2">
      <c r="A68" s="116"/>
      <c r="B68" s="116"/>
      <c r="C68" s="116"/>
      <c r="D68" s="116"/>
      <c r="E68" s="118"/>
      <c r="F68" s="116"/>
      <c r="G68" s="116"/>
      <c r="H68" s="116"/>
    </row>
    <row r="69" spans="1:8" x14ac:dyDescent="0.2">
      <c r="A69" s="116"/>
      <c r="B69" s="116"/>
      <c r="C69" s="116"/>
      <c r="D69" s="116"/>
      <c r="E69" s="118"/>
      <c r="F69" s="116"/>
      <c r="G69" s="116"/>
      <c r="H69" s="116"/>
    </row>
    <row r="70" spans="1:8" x14ac:dyDescent="0.2">
      <c r="A70" s="116"/>
      <c r="B70" s="116"/>
      <c r="C70" s="116"/>
      <c r="D70" s="116"/>
      <c r="E70" s="118"/>
      <c r="F70" s="116"/>
      <c r="G70" s="116"/>
      <c r="H70" s="116"/>
    </row>
    <row r="71" spans="1:8" x14ac:dyDescent="0.2">
      <c r="A71" s="116"/>
      <c r="B71" s="116"/>
      <c r="C71" s="116"/>
      <c r="D71" s="116"/>
      <c r="E71" s="118"/>
      <c r="F71" s="116"/>
      <c r="G71" s="116"/>
      <c r="H71" s="116"/>
    </row>
    <row r="72" spans="1:8" x14ac:dyDescent="0.2">
      <c r="A72" s="116"/>
      <c r="B72" s="116"/>
      <c r="C72" s="116"/>
      <c r="D72" s="116"/>
      <c r="E72" s="118"/>
      <c r="F72" s="116"/>
      <c r="G72" s="116"/>
      <c r="H72" s="116"/>
    </row>
    <row r="73" spans="1:8" x14ac:dyDescent="0.2">
      <c r="A73" s="116"/>
      <c r="B73" s="116"/>
      <c r="C73" s="116"/>
      <c r="D73" s="116"/>
      <c r="E73" s="118"/>
      <c r="F73" s="116"/>
      <c r="G73" s="116"/>
      <c r="H73" s="116"/>
    </row>
    <row r="74" spans="1:8" x14ac:dyDescent="0.2">
      <c r="A74" s="116"/>
      <c r="B74" s="116"/>
      <c r="C74" s="116"/>
      <c r="D74" s="116"/>
      <c r="E74" s="118"/>
      <c r="F74" s="116"/>
      <c r="G74" s="116"/>
      <c r="H74" s="116"/>
    </row>
    <row r="75" spans="1:8" x14ac:dyDescent="0.2">
      <c r="A75" s="116"/>
      <c r="B75" s="116"/>
      <c r="C75" s="116"/>
      <c r="D75" s="116"/>
      <c r="E75" s="118"/>
      <c r="F75" s="116"/>
      <c r="G75" s="116"/>
      <c r="H75" s="116"/>
    </row>
    <row r="76" spans="1:8" x14ac:dyDescent="0.2">
      <c r="A76" s="116"/>
      <c r="B76" s="116"/>
      <c r="C76" s="116"/>
      <c r="D76" s="116"/>
      <c r="E76" s="118"/>
      <c r="F76" s="116"/>
      <c r="G76" s="116"/>
      <c r="H76" s="116"/>
    </row>
    <row r="77" spans="1:8" x14ac:dyDescent="0.2">
      <c r="A77" s="116"/>
      <c r="B77" s="116"/>
      <c r="C77" s="116"/>
      <c r="D77" s="116"/>
      <c r="E77" s="118"/>
      <c r="F77" s="116"/>
      <c r="G77" s="116"/>
      <c r="H77" s="116"/>
    </row>
    <row r="78" spans="1:8" x14ac:dyDescent="0.2">
      <c r="A78" s="116"/>
      <c r="B78" s="116"/>
      <c r="C78" s="116"/>
      <c r="D78" s="116"/>
      <c r="E78" s="118"/>
      <c r="F78" s="116"/>
      <c r="G78" s="116"/>
      <c r="H78" s="116"/>
    </row>
    <row r="79" spans="1:8" x14ac:dyDescent="0.2">
      <c r="A79" s="116"/>
      <c r="B79" s="116"/>
      <c r="C79" s="116"/>
      <c r="D79" s="116"/>
      <c r="E79" s="118"/>
      <c r="F79" s="116"/>
      <c r="G79" s="116"/>
      <c r="H79" s="116"/>
    </row>
    <row r="80" spans="1:8" x14ac:dyDescent="0.2">
      <c r="A80" s="116"/>
      <c r="B80" s="116"/>
      <c r="C80" s="116"/>
      <c r="D80" s="116"/>
      <c r="E80" s="118"/>
      <c r="F80" s="116"/>
      <c r="G80" s="116"/>
      <c r="H80" s="116"/>
    </row>
    <row r="81" spans="1:8" x14ac:dyDescent="0.2">
      <c r="A81" s="116"/>
      <c r="B81" s="116"/>
      <c r="C81" s="116"/>
      <c r="D81" s="116"/>
      <c r="E81" s="118"/>
      <c r="F81" s="116"/>
      <c r="G81" s="116"/>
      <c r="H81" s="116"/>
    </row>
    <row r="82" spans="1:8" x14ac:dyDescent="0.2">
      <c r="A82" s="116"/>
      <c r="B82" s="116"/>
      <c r="C82" s="116"/>
      <c r="D82" s="116"/>
      <c r="E82" s="118"/>
      <c r="F82" s="116"/>
      <c r="G82" s="116"/>
      <c r="H82" s="116"/>
    </row>
    <row r="83" spans="1:8" x14ac:dyDescent="0.2">
      <c r="A83" s="116"/>
      <c r="B83" s="116"/>
      <c r="C83" s="116"/>
      <c r="D83" s="116"/>
      <c r="E83" s="118"/>
      <c r="F83" s="116"/>
      <c r="G83" s="116"/>
      <c r="H83" s="116"/>
    </row>
    <row r="84" spans="1:8" x14ac:dyDescent="0.2">
      <c r="A84" s="116"/>
      <c r="B84" s="116"/>
      <c r="C84" s="116"/>
      <c r="D84" s="116"/>
      <c r="E84" s="118"/>
      <c r="F84" s="116"/>
      <c r="G84" s="116"/>
      <c r="H84" s="116"/>
    </row>
    <row r="85" spans="1:8" x14ac:dyDescent="0.2">
      <c r="A85" s="116"/>
      <c r="B85" s="116"/>
      <c r="C85" s="116"/>
      <c r="D85" s="116"/>
      <c r="E85" s="118"/>
      <c r="F85" s="116"/>
      <c r="G85" s="116"/>
      <c r="H85" s="116"/>
    </row>
    <row r="86" spans="1:8" x14ac:dyDescent="0.2">
      <c r="A86" s="116"/>
      <c r="B86" s="116"/>
      <c r="C86" s="116"/>
      <c r="D86" s="116"/>
      <c r="E86" s="118"/>
      <c r="F86" s="116"/>
      <c r="G86" s="116"/>
      <c r="H86" s="116"/>
    </row>
    <row r="87" spans="1:8" x14ac:dyDescent="0.2">
      <c r="A87" s="116"/>
      <c r="B87" s="116"/>
      <c r="C87" s="116"/>
      <c r="D87" s="116"/>
      <c r="E87" s="118"/>
      <c r="F87" s="116"/>
      <c r="G87" s="116"/>
      <c r="H87" s="116"/>
    </row>
    <row r="88" spans="1:8" x14ac:dyDescent="0.2">
      <c r="A88" s="116"/>
      <c r="B88" s="116"/>
      <c r="C88" s="116"/>
      <c r="D88" s="116"/>
      <c r="E88" s="118"/>
      <c r="F88" s="116"/>
      <c r="G88" s="116"/>
      <c r="H88" s="116"/>
    </row>
    <row r="89" spans="1:8" x14ac:dyDescent="0.2">
      <c r="A89" s="116"/>
      <c r="B89" s="116"/>
      <c r="C89" s="116"/>
      <c r="D89" s="116"/>
      <c r="E89" s="118"/>
      <c r="F89" s="116"/>
      <c r="G89" s="116"/>
      <c r="H89" s="116"/>
    </row>
    <row r="90" spans="1:8" x14ac:dyDescent="0.2">
      <c r="A90" s="116"/>
      <c r="B90" s="116"/>
      <c r="C90" s="116"/>
      <c r="D90" s="116"/>
      <c r="E90" s="118"/>
      <c r="F90" s="116"/>
      <c r="G90" s="116"/>
      <c r="H90" s="116"/>
    </row>
    <row r="91" spans="1:8" x14ac:dyDescent="0.2">
      <c r="A91" s="116"/>
      <c r="B91" s="116"/>
      <c r="C91" s="116"/>
      <c r="D91" s="116"/>
      <c r="E91" s="118"/>
      <c r="F91" s="116"/>
      <c r="G91" s="116"/>
      <c r="H91" s="116"/>
    </row>
    <row r="92" spans="1:8" x14ac:dyDescent="0.2">
      <c r="A92" s="116"/>
      <c r="B92" s="116"/>
      <c r="C92" s="116"/>
      <c r="D92" s="116"/>
      <c r="E92" s="118"/>
      <c r="F92" s="116"/>
      <c r="G92" s="116"/>
      <c r="H92" s="116"/>
    </row>
    <row r="93" spans="1:8" x14ac:dyDescent="0.2">
      <c r="A93" s="116"/>
      <c r="B93" s="116"/>
      <c r="C93" s="116"/>
      <c r="D93" s="116"/>
      <c r="E93" s="118"/>
      <c r="F93" s="116"/>
      <c r="G93" s="116"/>
      <c r="H93" s="116"/>
    </row>
    <row r="94" spans="1:8" x14ac:dyDescent="0.2">
      <c r="A94" s="116"/>
      <c r="B94" s="116"/>
      <c r="C94" s="116"/>
      <c r="D94" s="116"/>
      <c r="E94" s="118"/>
      <c r="F94" s="116"/>
      <c r="G94" s="116"/>
      <c r="H94" s="116"/>
    </row>
    <row r="95" spans="1:8" x14ac:dyDescent="0.2">
      <c r="A95" s="116"/>
      <c r="B95" s="116"/>
      <c r="C95" s="116"/>
      <c r="D95" s="116"/>
      <c r="E95" s="118"/>
      <c r="F95" s="116"/>
      <c r="G95" s="116"/>
      <c r="H95" s="116"/>
    </row>
    <row r="96" spans="1:8" x14ac:dyDescent="0.2">
      <c r="A96" s="116"/>
      <c r="B96" s="116"/>
      <c r="C96" s="116"/>
      <c r="D96" s="116"/>
      <c r="E96" s="118"/>
      <c r="F96" s="116"/>
      <c r="G96" s="116"/>
      <c r="H96" s="116"/>
    </row>
    <row r="97" spans="1:8" x14ac:dyDescent="0.2">
      <c r="A97" s="116"/>
      <c r="B97" s="116"/>
      <c r="C97" s="116"/>
      <c r="D97" s="116"/>
      <c r="E97" s="118"/>
      <c r="F97" s="116"/>
      <c r="G97" s="116"/>
      <c r="H97" s="116"/>
    </row>
    <row r="98" spans="1:8" x14ac:dyDescent="0.2">
      <c r="A98" s="116"/>
      <c r="B98" s="116"/>
      <c r="C98" s="116"/>
      <c r="D98" s="116"/>
      <c r="E98" s="118"/>
      <c r="F98" s="116"/>
      <c r="G98" s="116"/>
      <c r="H98" s="116"/>
    </row>
    <row r="99" spans="1:8" x14ac:dyDescent="0.2">
      <c r="A99" s="116"/>
      <c r="B99" s="116"/>
      <c r="C99" s="116"/>
      <c r="D99" s="116"/>
      <c r="E99" s="118"/>
      <c r="F99" s="116"/>
      <c r="G99" s="116"/>
      <c r="H99" s="116"/>
    </row>
    <row r="100" spans="1:8" x14ac:dyDescent="0.2">
      <c r="A100" s="116"/>
      <c r="B100" s="116"/>
      <c r="C100" s="116"/>
      <c r="D100" s="116"/>
      <c r="E100" s="118"/>
      <c r="F100" s="116"/>
      <c r="G100" s="116"/>
      <c r="H100" s="116"/>
    </row>
    <row r="101" spans="1:8" x14ac:dyDescent="0.2">
      <c r="A101" s="116"/>
      <c r="B101" s="116"/>
      <c r="C101" s="116"/>
      <c r="D101" s="116"/>
      <c r="E101" s="118"/>
      <c r="F101" s="116"/>
      <c r="G101" s="116"/>
      <c r="H101" s="116"/>
    </row>
    <row r="102" spans="1:8" x14ac:dyDescent="0.2">
      <c r="A102" s="116"/>
      <c r="B102" s="116"/>
      <c r="C102" s="116"/>
      <c r="D102" s="116"/>
      <c r="E102" s="118"/>
      <c r="F102" s="116"/>
      <c r="G102" s="116"/>
      <c r="H102" s="116"/>
    </row>
    <row r="103" spans="1:8" x14ac:dyDescent="0.2">
      <c r="A103" s="116"/>
      <c r="B103" s="116"/>
      <c r="C103" s="116"/>
      <c r="D103" s="116"/>
      <c r="E103" s="118"/>
      <c r="F103" s="116"/>
      <c r="G103" s="116"/>
      <c r="H103" s="116"/>
    </row>
    <row r="104" spans="1:8" x14ac:dyDescent="0.2">
      <c r="A104" s="116"/>
      <c r="B104" s="116"/>
      <c r="C104" s="116"/>
      <c r="D104" s="116"/>
      <c r="E104" s="118"/>
      <c r="F104" s="116"/>
      <c r="G104" s="116"/>
      <c r="H104" s="116"/>
    </row>
    <row r="105" spans="1:8" x14ac:dyDescent="0.2">
      <c r="A105" s="116"/>
      <c r="B105" s="116"/>
      <c r="C105" s="116"/>
      <c r="D105" s="116"/>
      <c r="E105" s="118"/>
      <c r="F105" s="116"/>
      <c r="G105" s="116"/>
      <c r="H105" s="116"/>
    </row>
    <row r="106" spans="1:8" x14ac:dyDescent="0.2">
      <c r="A106" s="116"/>
      <c r="B106" s="116"/>
      <c r="C106" s="116"/>
      <c r="D106" s="116"/>
      <c r="E106" s="118"/>
      <c r="F106" s="116"/>
      <c r="G106" s="116"/>
      <c r="H106" s="116"/>
    </row>
    <row r="107" spans="1:8" x14ac:dyDescent="0.2">
      <c r="A107" s="116"/>
      <c r="B107" s="116"/>
      <c r="C107" s="116"/>
      <c r="D107" s="116"/>
      <c r="E107" s="118"/>
      <c r="F107" s="116"/>
      <c r="G107" s="116"/>
      <c r="H107" s="116"/>
    </row>
    <row r="108" spans="1:8" x14ac:dyDescent="0.2">
      <c r="A108" s="116"/>
      <c r="B108" s="116"/>
      <c r="C108" s="116"/>
      <c r="D108" s="116"/>
      <c r="E108" s="118"/>
      <c r="F108" s="116"/>
      <c r="G108" s="116"/>
      <c r="H108" s="116"/>
    </row>
    <row r="109" spans="1:8" x14ac:dyDescent="0.2">
      <c r="A109" s="116"/>
      <c r="B109" s="116"/>
      <c r="C109" s="116"/>
      <c r="D109" s="116"/>
      <c r="E109" s="118"/>
      <c r="F109" s="116"/>
      <c r="G109" s="116"/>
      <c r="H109" s="116"/>
    </row>
    <row r="110" spans="1:8" x14ac:dyDescent="0.2">
      <c r="A110" s="116"/>
      <c r="B110" s="116"/>
      <c r="C110" s="116"/>
      <c r="D110" s="116"/>
      <c r="E110" s="118"/>
      <c r="F110" s="116"/>
      <c r="G110" s="116"/>
      <c r="H110" s="116"/>
    </row>
    <row r="111" spans="1:8" x14ac:dyDescent="0.2">
      <c r="A111" s="116"/>
      <c r="B111" s="116"/>
      <c r="C111" s="116"/>
      <c r="D111" s="116"/>
      <c r="E111" s="118"/>
      <c r="F111" s="116"/>
      <c r="G111" s="116"/>
      <c r="H111" s="116"/>
    </row>
    <row r="112" spans="1:8" x14ac:dyDescent="0.2">
      <c r="A112" s="116"/>
      <c r="B112" s="116"/>
      <c r="C112" s="116"/>
      <c r="D112" s="116"/>
      <c r="E112" s="118"/>
      <c r="F112" s="116"/>
      <c r="G112" s="116"/>
      <c r="H112" s="116"/>
    </row>
    <row r="113" spans="1:8" x14ac:dyDescent="0.2">
      <c r="A113" s="116"/>
      <c r="B113" s="116"/>
      <c r="C113" s="116"/>
      <c r="D113" s="116"/>
      <c r="E113" s="118"/>
      <c r="F113" s="116"/>
      <c r="G113" s="116"/>
      <c r="H113" s="116"/>
    </row>
    <row r="114" spans="1:8" x14ac:dyDescent="0.2">
      <c r="A114" s="116"/>
      <c r="B114" s="116"/>
      <c r="C114" s="116"/>
      <c r="D114" s="116"/>
      <c r="E114" s="118"/>
      <c r="F114" s="116"/>
      <c r="G114" s="116"/>
      <c r="H114" s="116"/>
    </row>
  </sheetData>
  <conditionalFormatting sqref="C1">
    <cfRule type="containsText" dxfId="4" priority="1" stopIfTrue="1" operator="containsText" text="Fill with">
      <formula>NOT(ISERROR(SEARCH("Fill with",C1)))</formula>
    </cfRule>
    <cfRule type="containsText" dxfId="3" priority="2" stopIfTrue="1" operator="containsText" text="Fill With">
      <formula>NOT(ISERROR(SEARCH("Fill With",C1)))</formula>
    </cfRule>
  </conditionalFormatting>
  <conditionalFormatting sqref="H1">
    <cfRule type="containsText" dxfId="2" priority="3" stopIfTrue="1" operator="containsText" text="Fill this">
      <formula>NOT(ISERROR(SEARCH("Fill this",H1)))</formula>
    </cfRule>
    <cfRule type="iconSet" priority="4">
      <iconSet iconSet="3TrafficLights2">
        <cfvo type="percent" val="0"/>
        <cfvo type="percent" val="33"/>
        <cfvo type="percent" val="67"/>
      </iconSet>
    </cfRule>
    <cfRule type="containsText" dxfId="1" priority="5" stopIfTrue="1" operator="containsText" text="Fill this">
      <formula>NOT(ISERROR(SEARCH("Fill this",H1)))</formula>
    </cfRule>
    <cfRule type="containsText" dxfId="0" priority="6" stopIfTrue="1" operator="containsText" text="Fill">
      <formula>NOT(ISERROR(SEARCH("Fill",H1)))</formula>
    </cfRule>
  </conditionalFormatting>
  <dataValidations count="2">
    <dataValidation type="list" allowBlank="1" showInputMessage="1" showErrorMessage="1" sqref="E14:E114 E1:E5" xr:uid="{00000000-0002-0000-0500-000000000000}">
      <formula1>DefectPriority</formula1>
    </dataValidation>
    <dataValidation type="list" allowBlank="1" showInputMessage="1" showErrorMessage="1" sqref="G1" xr:uid="{00000000-0002-0000-0500-000001000000}">
      <formula1>DefectStatus</formula1>
    </dataValidation>
  </dataValidations>
  <pageMargins left="0.7" right="0.7" top="0.75" bottom="0.75" header="0.3" footer="0.3"/>
  <pageSetup paperSize="9" orientation="portrait" r:id="rId1"/>
  <headerFooter>
    <oddHeader>&amp;L&amp;"Calibri"&amp;11&amp;K317100This message/document has been classified as “Public”&amp;1#_x000D_&amp;"Calibri"&amp;11&amp;K000000&amp;"Tahoma,Regular"&amp;12&amp;K0000FFInternal</oddHeader>
    <oddFooter>&amp;L&amp;"Tahoma,Regular"&amp;12&amp;K0000FFInternal</oddFooter>
    <evenHeader>&amp;L&amp;"Tahoma,Regular"&amp;12&amp;K0000FFInternal</evenHeader>
    <evenFooter>&amp;L&amp;"Tahoma,Regular"&amp;12&amp;K0000FFInternal</evenFooter>
    <firstHeader>&amp;L&amp;"Tahoma,Regular"&amp;12&amp;K0000FFInternal</firstHeader>
    <firstFooter>&amp;L&amp;"Tahoma,Regular"&amp;12&amp;K0000FFInternal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K11"/>
  <sheetViews>
    <sheetView showGridLines="0" zoomScale="80" workbookViewId="0">
      <selection activeCell="E8" sqref="E8"/>
    </sheetView>
  </sheetViews>
  <sheetFormatPr defaultRowHeight="12.75" x14ac:dyDescent="0.2"/>
  <cols>
    <col min="2" max="2" width="9.85546875" customWidth="1"/>
    <col min="3" max="3" width="9.140625" customWidth="1"/>
    <col min="4" max="4" width="20.7109375" bestFit="1" customWidth="1"/>
    <col min="5" max="5" width="46" customWidth="1"/>
    <col min="7" max="7" width="23.42578125" customWidth="1"/>
    <col min="9" max="9" width="14" bestFit="1" customWidth="1"/>
    <col min="11" max="11" width="19.140625" bestFit="1" customWidth="1"/>
  </cols>
  <sheetData>
    <row r="1" spans="1:11" ht="8.25" customHeight="1" x14ac:dyDescent="0.2">
      <c r="A1" s="16"/>
      <c r="B1" s="16"/>
      <c r="C1" s="16"/>
      <c r="D1" s="16"/>
      <c r="E1" s="16"/>
      <c r="F1" s="16"/>
      <c r="G1" s="16"/>
      <c r="H1" s="16"/>
      <c r="I1" s="16"/>
      <c r="J1" s="16"/>
    </row>
    <row r="2" spans="1:11" x14ac:dyDescent="0.2">
      <c r="A2" s="16"/>
      <c r="B2" s="12" t="s">
        <v>234</v>
      </c>
      <c r="C2" s="13"/>
      <c r="D2" s="12" t="s">
        <v>235</v>
      </c>
      <c r="E2" s="12" t="s">
        <v>236</v>
      </c>
      <c r="F2" s="16"/>
      <c r="G2" s="12" t="s">
        <v>237</v>
      </c>
      <c r="H2" s="16"/>
      <c r="I2" s="12" t="s">
        <v>238</v>
      </c>
      <c r="J2" s="16"/>
      <c r="K2" s="12" t="s">
        <v>239</v>
      </c>
    </row>
    <row r="3" spans="1:11" x14ac:dyDescent="0.2">
      <c r="A3" s="16"/>
      <c r="B3" s="14" t="s">
        <v>240</v>
      </c>
      <c r="C3" s="15"/>
      <c r="D3" s="50" t="s">
        <v>12</v>
      </c>
      <c r="E3" s="50" t="s">
        <v>241</v>
      </c>
      <c r="F3" s="16"/>
      <c r="G3" s="61" t="s">
        <v>68</v>
      </c>
      <c r="H3" s="16"/>
      <c r="I3" s="84" t="s">
        <v>11</v>
      </c>
      <c r="J3" s="16"/>
      <c r="K3" s="55" t="s">
        <v>14</v>
      </c>
    </row>
    <row r="4" spans="1:11" x14ac:dyDescent="0.2">
      <c r="A4" s="16"/>
      <c r="B4" s="14" t="s">
        <v>242</v>
      </c>
      <c r="C4" s="15"/>
      <c r="D4" s="50" t="s">
        <v>243</v>
      </c>
      <c r="E4" s="50" t="s">
        <v>244</v>
      </c>
      <c r="F4" s="16"/>
      <c r="G4" s="85" t="s">
        <v>128</v>
      </c>
      <c r="H4" s="16"/>
      <c r="I4" s="84" t="s">
        <v>15</v>
      </c>
      <c r="J4" s="16"/>
      <c r="K4" s="55" t="s">
        <v>17</v>
      </c>
    </row>
    <row r="5" spans="1:11" x14ac:dyDescent="0.2">
      <c r="A5" s="16"/>
      <c r="B5" s="14" t="s">
        <v>245</v>
      </c>
      <c r="C5" s="15"/>
      <c r="D5" s="50" t="s">
        <v>246</v>
      </c>
      <c r="E5" s="50" t="s">
        <v>247</v>
      </c>
      <c r="F5" s="16"/>
      <c r="G5" s="85" t="s">
        <v>248</v>
      </c>
      <c r="H5" s="16"/>
      <c r="I5" s="55" t="s">
        <v>18</v>
      </c>
      <c r="J5" s="16"/>
      <c r="K5" s="22"/>
    </row>
    <row r="6" spans="1:11" x14ac:dyDescent="0.2">
      <c r="A6" s="16"/>
      <c r="B6" s="16"/>
      <c r="C6" s="15"/>
      <c r="D6" s="50" t="s">
        <v>249</v>
      </c>
      <c r="E6" s="50" t="s">
        <v>250</v>
      </c>
      <c r="F6" s="16"/>
      <c r="G6" s="85" t="s">
        <v>251</v>
      </c>
      <c r="H6" s="16"/>
      <c r="I6" s="55" t="s">
        <v>20</v>
      </c>
      <c r="J6" s="16"/>
      <c r="K6" s="22"/>
    </row>
    <row r="7" spans="1:11" x14ac:dyDescent="0.2">
      <c r="A7" s="16"/>
      <c r="B7" s="15"/>
      <c r="C7" s="15"/>
      <c r="D7" s="50" t="s">
        <v>252</v>
      </c>
      <c r="E7" s="50" t="s">
        <v>253</v>
      </c>
      <c r="F7" s="16"/>
      <c r="G7" s="85"/>
      <c r="H7" s="16"/>
      <c r="I7" s="55" t="s">
        <v>254</v>
      </c>
      <c r="J7" s="16"/>
    </row>
    <row r="8" spans="1:11" x14ac:dyDescent="0.2">
      <c r="A8" s="16"/>
      <c r="B8" s="15"/>
      <c r="C8" s="15"/>
      <c r="D8" s="50" t="s">
        <v>255</v>
      </c>
      <c r="E8" s="50" t="s">
        <v>256</v>
      </c>
      <c r="F8" s="16"/>
      <c r="H8" s="16"/>
      <c r="I8" s="16"/>
      <c r="J8" s="16"/>
    </row>
    <row r="9" spans="1:11" x14ac:dyDescent="0.2">
      <c r="A9" s="16"/>
      <c r="B9" s="15"/>
      <c r="C9" s="15"/>
      <c r="D9" s="50" t="s">
        <v>257</v>
      </c>
      <c r="E9" s="50" t="s">
        <v>258</v>
      </c>
      <c r="F9" s="16"/>
      <c r="G9" s="85"/>
      <c r="H9" s="16"/>
      <c r="I9" s="16"/>
      <c r="J9" s="16"/>
    </row>
    <row r="10" spans="1:11" x14ac:dyDescent="0.2">
      <c r="A10" s="16"/>
      <c r="B10" s="16"/>
      <c r="C10" s="16"/>
      <c r="D10" s="50" t="s">
        <v>259</v>
      </c>
      <c r="E10" s="50" t="s">
        <v>260</v>
      </c>
      <c r="F10" s="16"/>
      <c r="G10" s="85"/>
      <c r="H10" s="16"/>
      <c r="I10" s="16"/>
      <c r="J10" s="16"/>
    </row>
    <row r="11" spans="1:11" x14ac:dyDescent="0.2">
      <c r="G11" s="85"/>
    </row>
  </sheetData>
  <customSheetViews>
    <customSheetView guid="{1C92A2C2-FD48-4928-AED5-9BEA6C9145FD}" scale="80" showGridLines="0">
      <selection activeCell="D12" sqref="D12"/>
      <pageMargins left="0" right="0" top="0" bottom="0" header="0" footer="0"/>
      <headerFooter alignWithMargins="0"/>
    </customSheetView>
    <customSheetView guid="{CD937A6C-313E-4825-9940-C75FA8D50104}" scale="80" showGridLines="0" showRuler="0">
      <selection activeCell="D12" sqref="D12"/>
      <pageMargins left="0" right="0" top="0" bottom="0" header="0" footer="0"/>
      <headerFooter alignWithMargins="0"/>
    </customSheetView>
    <customSheetView guid="{FF154EE2-AC2D-430A-9754-0D28C9DDDBFB}" scale="80" showGridLines="0">
      <selection activeCell="D12" sqref="D12"/>
      <pageMargins left="0" right="0" top="0" bottom="0" header="0" footer="0"/>
      <headerFooter alignWithMargins="0"/>
    </customSheetView>
    <customSheetView guid="{87E9DF29-B3B5-49D6-A9F9-D4136AD726FA}" scale="80" showGridLines="0" showRuler="0">
      <selection activeCell="D12" sqref="D12"/>
      <pageMargins left="0" right="0" top="0" bottom="0" header="0" footer="0"/>
      <headerFooter alignWithMargins="0"/>
    </customSheetView>
    <customSheetView guid="{2817BE2F-7DEF-4D72-A351-413E65CABEE2}" scale="80" showGridLines="0">
      <selection activeCell="D12" sqref="D12"/>
      <pageMargins left="0" right="0" top="0" bottom="0" header="0" footer="0"/>
      <headerFooter alignWithMargins="0"/>
    </customSheetView>
    <customSheetView guid="{C2290E76-3893-41D8-A4D2-83F52E2B89D5}" scale="80" showGridLines="0" showRuler="0">
      <selection activeCell="D12" sqref="D12"/>
      <pageMargins left="0" right="0" top="0" bottom="0" header="0" footer="0"/>
      <headerFooter alignWithMargins="0"/>
    </customSheetView>
    <customSheetView guid="{98F85CEF-0B27-46E0-83EC-AF3A91A8F625}" scale="80" showGridLines="0" showRuler="0">
      <selection activeCell="D12" sqref="D12"/>
      <pageMargins left="0" right="0" top="0" bottom="0" header="0" footer="0"/>
      <headerFooter alignWithMargins="0"/>
    </customSheetView>
  </customSheetViews>
  <phoneticPr fontId="2" type="noConversion"/>
  <dataValidations count="1">
    <dataValidation type="list" allowBlank="1" showInputMessage="1" showErrorMessage="1" sqref="P18" xr:uid="{00000000-0002-0000-0600-000000000000}">
      <formula1>Case_Status</formula1>
    </dataValidation>
  </dataValidations>
  <pageMargins left="0.75" right="0.75" top="1" bottom="1" header="0.5" footer="0.5"/>
  <pageSetup paperSize="9" orientation="portrait" r:id="rId1"/>
  <headerFooter alignWithMargins="0">
    <oddHeader>&amp;L&amp;"Calibri"&amp;11&amp;K317100This message/document has been classified as “Public”&amp;1#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5BDF-785A-4669-A10F-36490B9C17CF}">
  <dimension ref="A2:B7"/>
  <sheetViews>
    <sheetView topLeftCell="A3" workbookViewId="0">
      <selection activeCell="C6" sqref="C6"/>
    </sheetView>
  </sheetViews>
  <sheetFormatPr defaultRowHeight="12.75" x14ac:dyDescent="0.2"/>
  <cols>
    <col min="2" max="2" width="71.85546875" customWidth="1"/>
  </cols>
  <sheetData>
    <row r="2" spans="1:2" x14ac:dyDescent="0.2">
      <c r="A2" t="s">
        <v>267</v>
      </c>
      <c r="B2" t="s">
        <v>268</v>
      </c>
    </row>
    <row r="3" spans="1:2" ht="38.25" x14ac:dyDescent="0.2">
      <c r="B3" s="186" t="s">
        <v>269</v>
      </c>
    </row>
    <row r="4" spans="1:2" ht="63.75" x14ac:dyDescent="0.2">
      <c r="B4" s="186" t="s">
        <v>272</v>
      </c>
    </row>
    <row r="5" spans="1:2" x14ac:dyDescent="0.2">
      <c r="A5" t="s">
        <v>277</v>
      </c>
    </row>
    <row r="6" spans="1:2" ht="38.25" x14ac:dyDescent="0.2">
      <c r="B6" s="186" t="s">
        <v>278</v>
      </c>
    </row>
    <row r="7" spans="1:2" ht="25.5" x14ac:dyDescent="0.2">
      <c r="B7" s="186" t="s">
        <v>294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C137722676374F89BB82A19BDD2E2D" ma:contentTypeVersion="4" ma:contentTypeDescription="Create a new document." ma:contentTypeScope="" ma:versionID="43ae190174540b898147d8860cda6c13">
  <xsd:schema xmlns:xsd="http://www.w3.org/2001/XMLSchema" xmlns:xs="http://www.w3.org/2001/XMLSchema" xmlns:p="http://schemas.microsoft.com/office/2006/metadata/properties" xmlns:ns2="d97f9524-2f7a-4137-9cf1-a3df9a37ebb0" targetNamespace="http://schemas.microsoft.com/office/2006/metadata/properties" ma:root="true" ma:fieldsID="de5c954ee8330472e9ab1ab120c85ca6" ns2:_="">
    <xsd:import namespace="d97f9524-2f7a-4137-9cf1-a3df9a37eb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7f9524-2f7a-4137-9cf1-a3df9a37eb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4D17AC-8360-4435-80E9-4CF582AFE0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7f9524-2f7a-4137-9cf1-a3df9a37eb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3DB64F-2B80-42DC-BB58-E886EDC319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7238CA8-8603-4EA7-8D75-EE6651818E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Cover</vt:lpstr>
      <vt:lpstr>Execution Report</vt:lpstr>
      <vt:lpstr>Test Cycle Plan</vt:lpstr>
      <vt:lpstr>Defects</vt:lpstr>
      <vt:lpstr>Enhancement </vt:lpstr>
      <vt:lpstr>Reference</vt:lpstr>
      <vt:lpstr>Changes required</vt:lpstr>
      <vt:lpstr>Case_Status</vt:lpstr>
      <vt:lpstr>Category</vt:lpstr>
      <vt:lpstr>Defect_Status</vt:lpstr>
      <vt:lpstr>Defect_Tipification</vt:lpstr>
      <vt:lpstr>DefectPriority</vt:lpstr>
      <vt:lpstr>DefectStatus</vt:lpstr>
      <vt:lpstr>DefectTipification</vt:lpstr>
      <vt:lpstr>NOT_STARTED</vt:lpstr>
      <vt:lpstr>Priority</vt:lpstr>
      <vt:lpstr>Status</vt:lpstr>
      <vt:lpstr>TestCaseStatus</vt:lpstr>
      <vt:lpstr>testcasestatuslist</vt:lpstr>
    </vt:vector>
  </TitlesOfParts>
  <Manager/>
  <Company>WeDo Consulting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Acceptance Tests Cycle Control Sheet P1 v1.00 20071009</dc:title>
  <dc:subject>Acceptance Tests Execution Management</dc:subject>
  <dc:creator>Miguel Chibante</dc:creator>
  <cp:keywords/>
  <dc:description/>
  <cp:lastModifiedBy>Nizam AC</cp:lastModifiedBy>
  <cp:revision/>
  <dcterms:created xsi:type="dcterms:W3CDTF">2006-03-13T10:05:58Z</dcterms:created>
  <dcterms:modified xsi:type="dcterms:W3CDTF">2025-06-18T17:56:37Z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346dcb16-a9a2-43b3-be3c-71abf6bd1ea1_Enabled">
    <vt:lpwstr>true</vt:lpwstr>
  </property>
  <property fmtid="{D5CDD505-2E9C-101B-9397-08002B2CF9AE}" pid="4" name="MSIP_Label_346dcb16-a9a2-43b3-be3c-71abf6bd1ea1_SetDate">
    <vt:lpwstr>2023-08-24T08:03:36Z</vt:lpwstr>
  </property>
  <property fmtid="{D5CDD505-2E9C-101B-9397-08002B2CF9AE}" pid="5" name="MSIP_Label_346dcb16-a9a2-43b3-be3c-71abf6bd1ea1_Method">
    <vt:lpwstr>Privileged</vt:lpwstr>
  </property>
  <property fmtid="{D5CDD505-2E9C-101B-9397-08002B2CF9AE}" pid="6" name="MSIP_Label_346dcb16-a9a2-43b3-be3c-71abf6bd1ea1_Name">
    <vt:lpwstr>346dcb16-a9a2-43b3-be3c-71abf6bd1ea1</vt:lpwstr>
  </property>
  <property fmtid="{D5CDD505-2E9C-101B-9397-08002B2CF9AE}" pid="7" name="MSIP_Label_346dcb16-a9a2-43b3-be3c-71abf6bd1ea1_SiteId">
    <vt:lpwstr>350ffe67-1872-4323-ae90-be3e70195eb1</vt:lpwstr>
  </property>
  <property fmtid="{D5CDD505-2E9C-101B-9397-08002B2CF9AE}" pid="8" name="MSIP_Label_346dcb16-a9a2-43b3-be3c-71abf6bd1ea1_ActionId">
    <vt:lpwstr>41fe7bf4-c502-4409-89ed-ca35116bea25</vt:lpwstr>
  </property>
  <property fmtid="{D5CDD505-2E9C-101B-9397-08002B2CF9AE}" pid="9" name="MSIP_Label_346dcb16-a9a2-43b3-be3c-71abf6bd1ea1_ContentBits">
    <vt:lpwstr>1</vt:lpwstr>
  </property>
  <property fmtid="{D5CDD505-2E9C-101B-9397-08002B2CF9AE}" pid="10" name="ContentTypeId">
    <vt:lpwstr>0x01010074C137722676374F89BB82A19BDD2E2D</vt:lpwstr>
  </property>
</Properties>
</file>